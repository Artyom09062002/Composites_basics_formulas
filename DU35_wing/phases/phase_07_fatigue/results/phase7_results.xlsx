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69712c836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f5dfcb25494afa"/>
    <x:sheet xmlns:r="http://schemas.openxmlformats.org/officeDocument/2006/relationships" name="Component Damage" sheetId="2" r:id="Re3cb499a776f4dde"/>
    <x:sheet xmlns:r="http://schemas.openxmlformats.org/officeDocument/2006/relationships" name="Web Comparison" sheetId="3" r:id="Ra0e143af98d94860"/>
    <x:sheet xmlns:r="http://schemas.openxmlformats.org/officeDocument/2006/relationships" name="Reinforcement" sheetId="4" r:id="R04c93a28d7ce4b44"/>
    <x:sheet xmlns:r="http://schemas.openxmlformats.org/officeDocument/2006/relationships" name="Basis &amp; Sources" sheetId="5" r:id="R71fe185416d64bf7"/>
    <x:sheet xmlns:r="http://schemas.openxmlformats.org/officeDocument/2006/relationships" name="DB Sensitivity" sheetId="6" r:id="R7ac43ee063044b6f"/>
    <x:sheet xmlns:r="http://schemas.openxmlformats.org/officeDocument/2006/relationships" name="A66h Sensitivity" sheetId="7" r:id="R6f37e41b88444ef6"/>
    <x:sheet xmlns:r="http://schemas.openxmlformats.org/officeDocument/2006/relationships" name="Core Bound" sheetId="8" r:id="Ra902ff9aac794951"/>
    <x:sheet xmlns:r="http://schemas.openxmlformats.org/officeDocument/2006/relationships" name="Robust Design" sheetId="9" r:id="R9e49fc3cc0d744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"/>
    <x:numFmt numFmtId="201" formatCode="0 &quot;years&quot;"/>
    <x:numFmt numFmtId="202" formatCode="0.000000"/>
    <x:numFmt numFmtId="203" formatCode="0.000%"/>
    <x:numFmt numFmtId="204" formatCode="0.00E+00"/>
    <x:numFmt numFmtId="205" formatCode="0.000E+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61F18"/>
      <x:name val="Carlito"/>
    </x:font>
    <x:font>
      <x:b/>
      <x:sz val="10"/>
      <x:color rgb="FF061F18"/>
      <x:name val="Aptos"/>
    </x:font>
    <x:font>
      <x:sz val="10"/>
      <x:color rgb="FF061F18"/>
      <x:name val="Aptos"/>
    </x:font>
    <x:font>
      <x:b/>
      <x:sz val="10"/>
      <x:color rgb="FFFFFFFF"/>
      <x:name val="Aptos Display"/>
    </x:font>
    <x:font>
      <x:sz val="11"/>
      <x:color rgb="FF061F18"/>
      <x:name val="Carlito"/>
    </x:font>
    <x:font>
      <x:b/>
      <x:sz val="11"/>
      <x:color rgb="FF006100"/>
      <x:name val="Carlito"/>
    </x:font>
    <x:font>
      <x:b/>
      <x:sz val="11"/>
      <x:color rgb="FF7F6000"/>
      <x:name val="Carlito"/>
    </x:font>
    <x:font>
      <x:b/>
      <x:sz val="11"/>
      <x:color rgb="FF595959"/>
      <x:name val="Carlito"/>
    </x:font>
    <x:font>
      <x:b/>
      <x:sz val="10"/>
      <x:color rgb="FF9C0006"/>
      <x:name val="Aptos"/>
    </x:font>
    <x:font>
      <x:b/>
      <x:sz val="16"/>
      <x:color rgb="FFFFFFFF"/>
      <x:name val="Carlito"/>
    </x:font>
  </x:fonts>
  <x:fills count="52">
    <x:fill>
      <x:patternFill patternType="none"/>
    </x:fill>
    <x:fill>
      <x:patternFill patternType="gray125"/>
    </x:fill>
    <x:fill>
      <x:patternFill patternType="solid">
        <x:fgColor rgb="FF061F18"/>
      </x:patternFill>
    </x:fill>
    <x:fill>
      <x:patternFill patternType="solid">
        <x:fgColor rgb="FF2F7357"/>
      </x:patternFill>
    </x:fill>
    <x:fill>
      <x:patternFill patternType="solid">
        <x:fgColor rgb="FFE7F4EE"/>
      </x:patternFill>
    </x:fill>
    <x:fill>
      <x:patternFill patternType="solid">
        <x:fgColor rgb="FFF2A900"/>
      </x:patternFill>
    </x:fill>
    <x:fill>
      <x:patternFill patternType="solid">
        <x:fgColor rgb="FF061F18"/>
      </x:patternFill>
    </x:fill>
    <x:fill>
      <x:patternFill patternType="solid">
        <x:fgColor rgb="FFF4B000"/>
      </x:patternFill>
    </x:fill>
    <x:fill>
      <x:patternFill patternType="solid">
        <x:fgColor rgb="FF2F7357"/>
      </x:patternFill>
    </x:fill>
    <x:fill>
      <x:patternFill patternType="solid">
        <x:fgColor rgb="FFE7F4EE"/>
      </x:patternFill>
    </x:fill>
    <x:fill>
      <x:patternFill patternType="solid">
        <x:fgColor rgb="FFFFF7DF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061F18"/>
      </x:patternFill>
    </x:fill>
    <x:fill>
      <x:patternFill patternType="solid">
        <x:fgColor rgb="FFF4B000"/>
      </x:patternFill>
    </x:fill>
    <x:fill>
      <x:patternFill patternType="solid">
        <x:fgColor rgb="FFD8D6D2"/>
      </x:patternFill>
    </x:fill>
    <x:fill>
      <x:patternFill patternType="solid">
        <x:fgColor rgb="FF2F7357"/>
      </x:patternFill>
    </x:fill>
    <x:fill>
      <x:patternFill patternType="solid">
        <x:fgColor rgb="FFE7F4EE"/>
      </x:patternFill>
    </x:fill>
    <x:fill>
      <x:patternFill patternType="solid">
        <x:fgColor rgb="FFFFF7DF"/>
      </x:patternFill>
    </x:fill>
    <x:fill>
      <x:patternFill patternType="solid">
        <x:fgColor rgb="FFF4F4F3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061F18"/>
      </x:patternFill>
    </x:fill>
    <x:fill>
      <x:patternFill patternType="solid">
        <x:fgColor rgb="FFF4B000"/>
      </x:patternFill>
    </x:fill>
    <x:fill>
      <x:patternFill patternType="solid">
        <x:fgColor rgb="FFD8D6D2"/>
      </x:patternFill>
    </x:fill>
    <x:fill>
      <x:patternFill patternType="solid">
        <x:fgColor rgb="FF2F7357"/>
      </x:patternFill>
    </x:fill>
    <x:fill>
      <x:patternFill patternType="solid">
        <x:fgColor rgb="FFE7F4EE"/>
      </x:patternFill>
    </x:fill>
    <x:fill>
      <x:patternFill patternType="solid">
        <x:fgColor rgb="FFFFF7DF"/>
      </x:patternFill>
    </x:fill>
    <x:fill>
      <x:patternFill patternType="solid">
        <x:fgColor rgb="FFF4F4F3"/>
      </x:patternFill>
    </x:fill>
    <x:fill>
      <x:patternFill patternType="solid">
        <x:fgColor rgb="FFC6EFC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DE9D9"/>
      </x:patternFill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102A43"/>
      </x:patternFill>
    </x:fill>
    <x:fill>
      <x:patternFill patternType="solid">
        <x:fgColor rgb="FFC6EFCE"/>
      </x:patternFill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102A43"/>
      </x:patternFill>
    </x:fill>
    <x:fill>
      <x:patternFill patternType="solid">
        <x:fgColor rgb="FFC6EFCE"/>
      </x:patternFill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102A43"/>
      </x:patternFill>
    </x:fill>
    <x:fill>
      <x:patternFill patternType="solid">
        <x:fgColor rgb="FFC6EFCE"/>
      </x:patternFill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C6EFCE"/>
      </x:patternFill>
    </x:fill>
    <x:fill>
      <x:patternFill patternType="solid">
        <x:fgColor rgb="FF102A43"/>
      </x:patternFill>
    </x:fill>
  </x:fills>
  <x:borders count="9">
    <x:border/>
    <x:border>
      <x:left style="thin">
        <x:color rgb="FF2F7357"/>
      </x:left>
      <x:top style="thin">
        <x:color rgb="FF2F7357"/>
      </x:top>
      <x:bottom style="thin">
        <x:color rgb="FF2F7357"/>
      </x:bottom>
    </x:border>
    <x:border>
      <x:top style="thin">
        <x:color rgb="FF2F7357"/>
      </x:top>
      <x:bottom style="thin">
        <x:color rgb="FF2F7357"/>
      </x:bottom>
    </x:border>
    <x:border>
      <x:right style="thin">
        <x:color rgb="FF2F7357"/>
      </x:right>
      <x:top style="thin">
        <x:color rgb="FF2F7357"/>
      </x:top>
      <x:bottom style="thin">
        <x:color rgb="FF2F7357"/>
      </x:bottom>
    </x:border>
    <x:border>
      <x:bottom style="thin">
        <x:color rgb="FFD8E8E0"/>
      </x:bottom>
    </x:border>
    <x:border>
      <x:top style="thin">
        <x:color rgb="FFD8E8E0"/>
      </x:top>
      <x:bottom style="thin">
        <x:color rgb="FFD8E8E0"/>
      </x:bottom>
    </x:border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4" borderId="0" xfId="0" applyNumberFormat="1" applyFont="1" applyFill="1" applyBorder="1"/>
    <x:xf numFmtId="201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" xfId="0" applyNumberFormat="1" applyFont="1" applyFill="1" applyBorder="1"/>
    <x:xf numFmtId="0" fontId="2" fillId="8" borderId="2" xfId="0" applyNumberFormat="1" applyFont="1" applyFill="1" applyBorder="1"/>
    <x:xf numFmtId="0" fontId="2" fillId="8" borderId="3" xfId="0" applyNumberFormat="1" applyFont="1" applyFill="1" applyBorder="1"/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10" borderId="4" xfId="0" applyNumberFormat="1" applyFont="1" applyFill="1" applyBorder="1" applyAlignment="1">
      <x:alignment vertical="center" wrapText="1"/>
    </x:xf>
    <x:xf numFmtId="0" fontId="7" fillId="10" borderId="5" xfId="0" applyNumberFormat="1" applyFont="1" applyFill="1" applyBorder="1" applyAlignment="1">
      <x:alignment vertical="center" wrapText="1"/>
    </x:xf>
    <x:xf numFmtId="0" fontId="7" fillId="11" borderId="4" xfId="0" applyNumberFormat="1" applyFont="1" applyFill="1" applyBorder="1" applyAlignment="1">
      <x:alignment vertical="center" wrapText="1"/>
    </x:xf>
    <x:xf numFmtId="0" fontId="7" fillId="11" borderId="5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5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  <x:xf numFmtId="0" fontId="8" fillId="11" borderId="5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vertical="center" wrapText="1"/>
    </x:xf>
    <x:xf numFmtId="0" fontId="7" fillId="12" borderId="5" xfId="0" applyNumberFormat="1" applyFont="1" applyFill="1" applyBorder="1" applyAlignment="1">
      <x:alignment vertical="center" wrapText="1"/>
    </x:xf>
    <x:xf numFmtId="0" fontId="9" fillId="12" borderId="4" xfId="0" applyNumberFormat="1" applyFont="1" applyFill="1" applyBorder="1" applyAlignment="1">
      <x:alignment vertical="center" wrapText="1"/>
    </x:xf>
    <x:xf numFmtId="0" fontId="9" fillId="12" borderId="5" xfId="0" applyNumberFormat="1" applyFont="1" applyFill="1" applyBorder="1" applyAlignment="1">
      <x:alignment vertical="center" wrapText="1"/>
    </x:xf>
    <x:xf numFmtId="0" fontId="9" fillId="12" borderId="4" xfId="0" applyNumberFormat="1" applyFont="1" applyFill="1" applyBorder="1" applyAlignment="1">
      <x:alignment horizontal="center" vertical="center" wrapText="1"/>
    </x:xf>
    <x:xf numFmtId="0" fontId="9" fillId="12" borderId="5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1" xfId="0" applyNumberFormat="1" applyFont="1" applyFill="1" applyBorder="1"/>
    <x:xf numFmtId="0" fontId="2" fillId="16" borderId="2" xfId="0" applyNumberFormat="1" applyFont="1" applyFill="1" applyBorder="1"/>
    <x:xf numFmtId="0" fontId="2" fillId="16" borderId="3" xfId="0" applyNumberFormat="1" applyFont="1" applyFill="1" applyBorder="1"/>
    <x:xf numFmtId="0" fontId="7" fillId="17" borderId="4" xfId="0" applyNumberFormat="1" applyFont="1" applyFill="1" applyBorder="1" applyAlignment="1">
      <x:alignment vertical="center" wrapText="1"/>
    </x:xf>
    <x:xf numFmtId="0" fontId="7" fillId="17" borderId="5" xfId="0" applyNumberFormat="1" applyFont="1" applyFill="1" applyBorder="1" applyAlignment="1">
      <x:alignment vertical="center" wrapText="1"/>
    </x:xf>
    <x:xf numFmtId="0" fontId="7" fillId="18" borderId="4" xfId="0" applyNumberFormat="1" applyFont="1" applyFill="1" applyBorder="1" applyAlignment="1">
      <x:alignment vertical="center" wrapText="1"/>
    </x:xf>
    <x:xf numFmtId="0" fontId="7" fillId="18" borderId="5" xfId="0" applyNumberFormat="1" applyFont="1" applyFill="1" applyBorder="1" applyAlignment="1">
      <x:alignment vertical="center" wrapText="1"/>
    </x:xf>
    <x:xf numFmtId="0" fontId="7" fillId="19" borderId="4" xfId="0" applyNumberFormat="1" applyFont="1" applyFill="1" applyBorder="1" applyAlignment="1">
      <x:alignment vertical="center" wrapText="1"/>
    </x:xf>
    <x:xf numFmtId="0" fontId="7" fillId="19" borderId="5" xfId="0" applyNumberFormat="1" applyFont="1" applyFill="1" applyBorder="1" applyAlignment="1">
      <x:alignment vertical="center" wrapText="1"/>
    </x:xf>
    <x:xf numFmtId="0" fontId="7" fillId="20" borderId="4" xfId="0" applyNumberFormat="1" applyFont="1" applyFill="1" applyBorder="1" applyAlignment="1">
      <x:alignment vertical="center" wrapText="1"/>
    </x:xf>
    <x:xf numFmtId="0" fontId="7" fillId="20" borderId="5" xfId="0" applyNumberFormat="1" applyFont="1" applyFill="1" applyBorder="1" applyAlignment="1">
      <x:alignment vertical="center" wrapText="1"/>
    </x:xf>
    <x:xf numFmtId="0" fontId="8" fillId="20" borderId="4" xfId="0" applyNumberFormat="1" applyFont="1" applyFill="1" applyBorder="1" applyAlignment="1">
      <x:alignment vertical="center" wrapText="1"/>
    </x:xf>
    <x:xf numFmtId="0" fontId="8" fillId="20" borderId="5" xfId="0" applyNumberFormat="1" applyFont="1" applyFill="1" applyBorder="1" applyAlignment="1">
      <x:alignment vertical="center" wrapText="1"/>
    </x:xf>
    <x:xf numFmtId="0" fontId="8" fillId="20" borderId="4" xfId="0" applyNumberFormat="1" applyFont="1" applyFill="1" applyBorder="1" applyAlignment="1">
      <x:alignment horizontal="center" vertical="center" wrapText="1"/>
    </x:xf>
    <x:xf numFmtId="0" fontId="8" fillId="20" borderId="5" xfId="0" applyNumberFormat="1" applyFont="1" applyFill="1" applyBorder="1" applyAlignment="1">
      <x:alignment horizontal="center" vertical="center" wrapText="1"/>
    </x:xf>
    <x:xf numFmtId="0" fontId="7" fillId="21" borderId="4" xfId="0" applyNumberFormat="1" applyFont="1" applyFill="1" applyBorder="1" applyAlignment="1">
      <x:alignment vertical="center" wrapText="1"/>
    </x:xf>
    <x:xf numFmtId="0" fontId="7" fillId="21" borderId="5" xfId="0" applyNumberFormat="1" applyFont="1" applyFill="1" applyBorder="1" applyAlignment="1">
      <x:alignment vertical="center" wrapText="1"/>
    </x:xf>
    <x:xf numFmtId="0" fontId="9" fillId="21" borderId="4" xfId="0" applyNumberFormat="1" applyFont="1" applyFill="1" applyBorder="1" applyAlignment="1">
      <x:alignment vertical="center" wrapText="1"/>
    </x:xf>
    <x:xf numFmtId="0" fontId="9" fillId="21" borderId="5" xfId="0" applyNumberFormat="1" applyFont="1" applyFill="1" applyBorder="1" applyAlignment="1">
      <x:alignment vertical="center" wrapText="1"/>
    </x:xf>
    <x:xf numFmtId="0" fontId="9" fillId="21" borderId="4" xfId="0" applyNumberFormat="1" applyFont="1" applyFill="1" applyBorder="1" applyAlignment="1">
      <x:alignment horizontal="center" vertical="center" wrapText="1"/>
    </x:xf>
    <x:xf numFmtId="0" fontId="9" fillId="21" borderId="5" xfId="0" applyNumberFormat="1" applyFont="1" applyFill="1" applyBorder="1" applyAlignment="1">
      <x:alignment horizontal="center" vertical="center" wrapText="1"/>
    </x:xf>
    <x:xf numFmtId="0" fontId="7" fillId="22" borderId="4" xfId="0" applyNumberFormat="1" applyFont="1" applyFill="1" applyBorder="1" applyAlignment="1">
      <x:alignment vertical="center" wrapText="1"/>
    </x:xf>
    <x:xf numFmtId="0" fontId="7" fillId="22" borderId="5" xfId="0" applyNumberFormat="1" applyFont="1" applyFill="1" applyBorder="1" applyAlignment="1">
      <x:alignment vertical="center" wrapText="1"/>
    </x:xf>
    <x:xf numFmtId="0" fontId="10" fillId="22" borderId="4" xfId="0" applyNumberFormat="1" applyFont="1" applyFill="1" applyBorder="1" applyAlignment="1">
      <x:alignment vertical="center" wrapText="1"/>
    </x:xf>
    <x:xf numFmtId="0" fontId="10" fillId="22" borderId="5" xfId="0" applyNumberFormat="1" applyFont="1" applyFill="1" applyBorder="1" applyAlignment="1">
      <x:alignment vertical="center" wrapText="1"/>
    </x:xf>
    <x:xf numFmtId="0" fontId="10" fillId="22" borderId="4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1" xfId="0" applyNumberFormat="1" applyFont="1" applyFill="1" applyBorder="1"/>
    <x:xf numFmtId="0" fontId="2" fillId="26" borderId="2" xfId="0" applyNumberFormat="1" applyFont="1" applyFill="1" applyBorder="1"/>
    <x:xf numFmtId="0" fontId="2" fillId="26" borderId="3" xfId="0" applyNumberFormat="1" applyFont="1" applyFill="1" applyBorder="1"/>
    <x:xf numFmtId="0" fontId="7" fillId="27" borderId="4" xfId="0" applyNumberFormat="1" applyFont="1" applyFill="1" applyBorder="1" applyAlignment="1">
      <x:alignment vertical="center" wrapText="1"/>
    </x:xf>
    <x:xf numFmtId="0" fontId="7" fillId="27" borderId="5" xfId="0" applyNumberFormat="1" applyFont="1" applyFill="1" applyBorder="1" applyAlignment="1">
      <x:alignment vertical="center" wrapText="1"/>
    </x:xf>
    <x:xf numFmtId="0" fontId="7" fillId="28" borderId="4" xfId="0" applyNumberFormat="1" applyFont="1" applyFill="1" applyBorder="1" applyAlignment="1">
      <x:alignment vertical="center" wrapText="1"/>
    </x:xf>
    <x:xf numFmtId="0" fontId="7" fillId="28" borderId="5" xfId="0" applyNumberFormat="1" applyFont="1" applyFill="1" applyBorder="1" applyAlignment="1">
      <x:alignment vertical="center" wrapText="1"/>
    </x:xf>
    <x:xf numFmtId="0" fontId="7" fillId="29" borderId="4" xfId="0" applyNumberFormat="1" applyFont="1" applyFill="1" applyBorder="1" applyAlignment="1">
      <x:alignment vertical="center" wrapText="1"/>
    </x:xf>
    <x:xf numFmtId="0" fontId="7" fillId="29" borderId="5" xfId="0" applyNumberFormat="1" applyFont="1" applyFill="1" applyBorder="1" applyAlignment="1">
      <x:alignment vertical="center" wrapText="1"/>
    </x:xf>
    <x:xf numFmtId="0" fontId="7" fillId="30" borderId="4" xfId="0" applyNumberFormat="1" applyFont="1" applyFill="1" applyBorder="1" applyAlignment="1">
      <x:alignment vertical="center" wrapText="1"/>
    </x:xf>
    <x:xf numFmtId="0" fontId="7" fillId="30" borderId="5" xfId="0" applyNumberFormat="1" applyFont="1" applyFill="1" applyBorder="1" applyAlignment="1">
      <x:alignment vertical="center" wrapText="1"/>
    </x:xf>
    <x:xf numFmtId="0" fontId="8" fillId="30" borderId="4" xfId="0" applyNumberFormat="1" applyFont="1" applyFill="1" applyBorder="1" applyAlignment="1">
      <x:alignment vertical="center" wrapText="1"/>
    </x:xf>
    <x:xf numFmtId="0" fontId="8" fillId="30" borderId="5" xfId="0" applyNumberFormat="1" applyFont="1" applyFill="1" applyBorder="1" applyAlignment="1">
      <x:alignment vertical="center" wrapText="1"/>
    </x:xf>
    <x:xf numFmtId="0" fontId="8" fillId="30" borderId="4" xfId="0" applyNumberFormat="1" applyFont="1" applyFill="1" applyBorder="1" applyAlignment="1">
      <x:alignment horizontal="center" vertical="center" wrapText="1"/>
    </x:xf>
    <x:xf numFmtId="0" fontId="8" fillId="30" borderId="5" xfId="0" applyNumberFormat="1" applyFont="1" applyFill="1" applyBorder="1" applyAlignment="1">
      <x:alignment horizontal="center" vertical="center" wrapText="1"/>
    </x:xf>
    <x:xf numFmtId="0" fontId="7" fillId="31" borderId="4" xfId="0" applyNumberFormat="1" applyFont="1" applyFill="1" applyBorder="1" applyAlignment="1">
      <x:alignment vertical="center" wrapText="1"/>
    </x:xf>
    <x:xf numFmtId="0" fontId="7" fillId="31" borderId="5" xfId="0" applyNumberFormat="1" applyFont="1" applyFill="1" applyBorder="1" applyAlignment="1">
      <x:alignment vertical="center" wrapText="1"/>
    </x:xf>
    <x:xf numFmtId="0" fontId="9" fillId="31" borderId="4" xfId="0" applyNumberFormat="1" applyFont="1" applyFill="1" applyBorder="1" applyAlignment="1">
      <x:alignment vertical="center" wrapText="1"/>
    </x:xf>
    <x:xf numFmtId="0" fontId="9" fillId="31" borderId="5" xfId="0" applyNumberFormat="1" applyFont="1" applyFill="1" applyBorder="1" applyAlignment="1">
      <x:alignment vertical="center" wrapText="1"/>
    </x:xf>
    <x:xf numFmtId="0" fontId="7" fillId="32" borderId="4" xfId="0" applyNumberFormat="1" applyFont="1" applyFill="1" applyBorder="1" applyAlignment="1">
      <x:alignment vertical="center" wrapText="1"/>
    </x:xf>
    <x:xf numFmtId="0" fontId="7" fillId="32" borderId="5" xfId="0" applyNumberFormat="1" applyFont="1" applyFill="1" applyBorder="1" applyAlignment="1">
      <x:alignment vertical="center" wrapText="1"/>
    </x:xf>
    <x:xf numFmtId="0" fontId="10" fillId="32" borderId="4" xfId="0" applyNumberFormat="1" applyFont="1" applyFill="1" applyBorder="1" applyAlignment="1">
      <x:alignment vertical="center" wrapText="1"/>
    </x:xf>
    <x:xf numFmtId="0" fontId="10" fillId="32" borderId="5" xfId="0" applyNumberFormat="1" applyFont="1" applyFill="1" applyBorder="1" applyAlignment="1">
      <x:alignment vertical="center" wrapText="1"/>
    </x:xf>
    <x:xf numFmtId="0" fontId="10" fillId="32" borderId="4" xfId="0" applyNumberFormat="1" applyFont="1" applyFill="1" applyBorder="1" applyAlignment="1">
      <x:alignment horizontal="center" vertical="center" wrapText="1"/>
    </x:xf>
    <x:xf numFmtId="0" fontId="10" fillId="32" borderId="5" xfId="0" applyNumberFormat="1" applyFont="1" applyFill="1" applyBorder="1" applyAlignment="1">
      <x:alignment horizontal="center" vertical="center" wrapText="1"/>
    </x:xf>
    <x:xf numFmtId="203" fontId="5" fillId="0" borderId="0" xfId="0" applyNumberFormat="1" applyFont="1" applyFill="1" applyBorder="1"/>
    <x:xf numFmtId="200" fontId="4" fillId="5" borderId="0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4" fontId="5" fillId="0" borderId="0" xfId="0" applyNumberFormat="1" applyFont="1" applyFill="1" applyBorder="1" applyAlignment="1">
      <x:alignment wrapText="1"/>
    </x:xf>
    <x:xf numFmtId="0" fontId="4" fillId="33" borderId="0" xfId="0" applyNumberFormat="1" applyFont="1" applyFill="1" applyBorder="1"/>
    <x:xf numFmtId="0" fontId="5" fillId="33" borderId="0" xfId="0" applyNumberFormat="1" applyFont="1" applyFill="1" applyBorder="1"/>
    <x:xf numFmtId="0" fontId="11" fillId="33" borderId="0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2" fillId="34" borderId="0" xfId="0" applyNumberFormat="1" applyFont="1" applyFill="1" applyBorder="1"/>
    <x:xf numFmtId="0" fontId="0" fillId="35" borderId="0" xfId="0" applyNumberFormat="1" applyFont="1" applyFill="1" applyBorder="1"/>
    <x:xf numFmtId="0" fontId="2" fillId="35" borderId="0" xfId="0" applyNumberFormat="1" applyFont="1" applyFill="1" applyBorder="1"/>
    <x:xf numFmtId="0" fontId="2" fillId="3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12" fillId="34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12" fillId="36" borderId="0" xfId="0" applyNumberFormat="1" applyFont="1" applyFill="1" applyBorder="1"/>
    <x:xf numFmtId="0" fontId="0" fillId="37" borderId="0" xfId="0" applyNumberFormat="1" applyFont="1" applyFill="1" applyBorder="1"/>
    <x:xf numFmtId="0" fontId="2" fillId="37" borderId="0" xfId="0" applyNumberFormat="1" applyFont="1" applyFill="1" applyBorder="1"/>
    <x:xf numFmtId="0" fontId="2" fillId="37" borderId="6" xfId="0" applyNumberFormat="1" applyFont="1" applyFill="1" applyBorder="1"/>
    <x:xf numFmtId="0" fontId="2" fillId="37" borderId="7" xfId="0" applyNumberFormat="1" applyFont="1" applyFill="1" applyBorder="1"/>
    <x:xf numFmtId="0" fontId="2" fillId="37" borderId="8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8" borderId="0" xfId="0" applyNumberFormat="1" applyFont="1" applyFill="1" applyBorder="1"/>
    <x:xf numFmtId="0" fontId="12" fillId="38" borderId="0" xfId="0" applyNumberFormat="1" applyFont="1" applyFill="1" applyBorder="1"/>
    <x:xf numFmtId="0" fontId="0" fillId="39" borderId="0" xfId="0" applyNumberFormat="1" applyFont="1" applyFill="1" applyBorder="1"/>
    <x:xf numFmtId="0" fontId="8" fillId="39" borderId="0" xfId="0" applyNumberFormat="1" applyFont="1" applyFill="1" applyBorder="1"/>
    <x:xf numFmtId="205" fontId="0" fillId="0" borderId="0" xfId="0" applyNumberFormat="1" applyFont="1" applyFill="1" applyBorder="1"/>
    <x:xf numFmtId="0" fontId="12" fillId="38" borderId="0" xfId="0" applyNumberFormat="1" applyFont="1" applyFill="1" applyBorder="1" applyAlignment="1">
      <x:alignment wrapText="1"/>
    </x:xf>
    <x:xf numFmtId="0" fontId="2" fillId="37" borderId="6" xfId="0" applyNumberFormat="1" applyFont="1" applyFill="1" applyBorder="1" applyAlignment="1">
      <x:alignment wrapText="1"/>
    </x:xf>
    <x:xf numFmtId="0" fontId="2" fillId="37" borderId="8" xfId="0" applyNumberFormat="1" applyFont="1" applyFill="1" applyBorder="1" applyAlignment="1">
      <x:alignment wrapText="1"/>
    </x:xf>
    <x:xf numFmtId="0" fontId="8" fillId="39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2" fillId="36" borderId="0" xfId="0" applyNumberFormat="1" applyFont="1" applyFill="1" applyBorder="1" applyAlignment="1">
      <x:alignment wrapText="1"/>
    </x:xf>
    <x:xf numFmtId="0" fontId="2" fillId="37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0" fillId="0" borderId="0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12" fillId="40" borderId="0" xfId="0" applyNumberFormat="1" applyFont="1" applyFill="1" applyBorder="1"/>
    <x:xf numFmtId="0" fontId="0" fillId="41" borderId="0" xfId="0" applyNumberFormat="1" applyFont="1" applyFill="1" applyBorder="1"/>
    <x:xf numFmtId="0" fontId="2" fillId="41" borderId="0" xfId="0" applyNumberFormat="1" applyFont="1" applyFill="1" applyBorder="1"/>
    <x:xf numFmtId="0" fontId="2" fillId="41" borderId="6" xfId="0" applyNumberFormat="1" applyFont="1" applyFill="1" applyBorder="1"/>
    <x:xf numFmtId="0" fontId="2" fillId="41" borderId="7" xfId="0" applyNumberFormat="1" applyFont="1" applyFill="1" applyBorder="1"/>
    <x:xf numFmtId="0" fontId="2" fillId="41" borderId="8" xfId="0" applyNumberFormat="1" applyFont="1" applyFill="1" applyBorder="1"/>
    <x:xf numFmtId="0" fontId="0" fillId="42" borderId="0" xfId="0" applyNumberFormat="1" applyFont="1" applyFill="1" applyBorder="1"/>
    <x:xf numFmtId="0" fontId="12" fillId="42" borderId="0" xfId="0" applyNumberFormat="1" applyFont="1" applyFill="1" applyBorder="1"/>
    <x:xf numFmtId="0" fontId="0" fillId="43" borderId="0" xfId="0" applyNumberFormat="1" applyFont="1" applyFill="1" applyBorder="1"/>
    <x:xf numFmtId="0" fontId="8" fillId="43" borderId="0" xfId="0" applyNumberFormat="1" applyFont="1" applyFill="1" applyBorder="1"/>
    <x:xf numFmtId="0" fontId="12" fillId="42" borderId="0" xfId="0" applyNumberFormat="1" applyFont="1" applyFill="1" applyBorder="1" applyAlignment="1">
      <x:alignment wrapText="1"/>
    </x:xf>
    <x:xf numFmtId="0" fontId="2" fillId="41" borderId="6" xfId="0" applyNumberFormat="1" applyFont="1" applyFill="1" applyBorder="1" applyAlignment="1">
      <x:alignment wrapText="1"/>
    </x:xf>
    <x:xf numFmtId="0" fontId="2" fillId="41" borderId="8" xfId="0" applyNumberFormat="1" applyFont="1" applyFill="1" applyBorder="1" applyAlignment="1">
      <x:alignment wrapText="1"/>
    </x:xf>
    <x:xf numFmtId="0" fontId="8" fillId="43" borderId="0" xfId="0" applyNumberFormat="1" applyFont="1" applyFill="1" applyBorder="1" applyAlignment="1">
      <x:alignment wrapText="1"/>
    </x:xf>
    <x:xf numFmtId="0" fontId="12" fillId="40" borderId="0" xfId="0" applyNumberFormat="1" applyFont="1" applyFill="1" applyBorder="1" applyAlignment="1">
      <x:alignment wrapText="1"/>
    </x:xf>
    <x:xf numFmtId="0" fontId="2" fillId="41" borderId="7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12" fillId="44" borderId="0" xfId="0" applyNumberFormat="1" applyFont="1" applyFill="1" applyBorder="1"/>
    <x:xf numFmtId="0" fontId="0" fillId="45" borderId="0" xfId="0" applyNumberFormat="1" applyFont="1" applyFill="1" applyBorder="1"/>
    <x:xf numFmtId="0" fontId="2" fillId="45" borderId="0" xfId="0" applyNumberFormat="1" applyFont="1" applyFill="1" applyBorder="1"/>
    <x:xf numFmtId="0" fontId="2" fillId="45" borderId="6" xfId="0" applyNumberFormat="1" applyFont="1" applyFill="1" applyBorder="1"/>
    <x:xf numFmtId="0" fontId="2" fillId="45" borderId="7" xfId="0" applyNumberFormat="1" applyFont="1" applyFill="1" applyBorder="1"/>
    <x:xf numFmtId="0" fontId="2" fillId="45" borderId="8" xfId="0" applyNumberFormat="1" applyFont="1" applyFill="1" applyBorder="1"/>
    <x:xf numFmtId="0" fontId="0" fillId="46" borderId="0" xfId="0" applyNumberFormat="1" applyFont="1" applyFill="1" applyBorder="1"/>
    <x:xf numFmtId="0" fontId="12" fillId="46" borderId="0" xfId="0" applyNumberFormat="1" applyFont="1" applyFill="1" applyBorder="1"/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12" fillId="46" borderId="0" xfId="0" applyNumberFormat="1" applyFont="1" applyFill="1" applyBorder="1" applyAlignment="1">
      <x:alignment wrapText="1"/>
    </x:xf>
    <x:xf numFmtId="0" fontId="2" fillId="45" borderId="6" xfId="0" applyNumberFormat="1" applyFont="1" applyFill="1" applyBorder="1" applyAlignment="1">
      <x:alignment wrapText="1"/>
    </x:xf>
    <x:xf numFmtId="0" fontId="2" fillId="45" borderId="8" xfId="0" applyNumberFormat="1" applyFont="1" applyFill="1" applyBorder="1" applyAlignment="1">
      <x:alignment wrapText="1"/>
    </x:xf>
    <x:xf numFmtId="0" fontId="8" fillId="47" borderId="0" xfId="0" applyNumberFormat="1" applyFont="1" applyFill="1" applyBorder="1" applyAlignment="1">
      <x:alignment wrapText="1"/>
    </x:xf>
    <x:xf numFmtId="0" fontId="12" fillId="44" borderId="0" xfId="0" applyNumberFormat="1" applyFont="1" applyFill="1" applyBorder="1" applyAlignment="1">
      <x:alignment wrapText="1"/>
    </x:xf>
    <x:xf numFmtId="0" fontId="2" fillId="45" borderId="7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12" fillId="48" borderId="0" xfId="0" applyNumberFormat="1" applyFont="1" applyFill="1" applyBorder="1"/>
    <x:xf numFmtId="0" fontId="0" fillId="49" borderId="0" xfId="0" applyNumberFormat="1" applyFont="1" applyFill="1" applyBorder="1"/>
    <x:xf numFmtId="0" fontId="2" fillId="49" borderId="0" xfId="0" applyNumberFormat="1" applyFont="1" applyFill="1" applyBorder="1"/>
    <x:xf numFmtId="0" fontId="2" fillId="49" borderId="6" xfId="0" applyNumberFormat="1" applyFont="1" applyFill="1" applyBorder="1"/>
    <x:xf numFmtId="0" fontId="2" fillId="49" borderId="7" xfId="0" applyNumberFormat="1" applyFont="1" applyFill="1" applyBorder="1"/>
    <x:xf numFmtId="0" fontId="2" fillId="49" borderId="8" xfId="0" applyNumberFormat="1" applyFont="1" applyFill="1" applyBorder="1"/>
    <x:xf numFmtId="0" fontId="0" fillId="50" borderId="0" xfId="0" applyNumberFormat="1" applyFont="1" applyFill="1" applyBorder="1"/>
    <x:xf numFmtId="0" fontId="8" fillId="50" borderId="0" xfId="0" applyNumberFormat="1" applyFont="1" applyFill="1" applyBorder="1"/>
    <x:xf numFmtId="0" fontId="0" fillId="51" borderId="0" xfId="0" applyNumberFormat="1" applyFont="1" applyFill="1" applyBorder="1"/>
    <x:xf numFmtId="0" fontId="12" fillId="51" borderId="0" xfId="0" applyNumberFormat="1" applyFont="1" applyFill="1" applyBorder="1"/>
    <x:xf numFmtId="0" fontId="12" fillId="51" borderId="0" xfId="0" applyNumberFormat="1" applyFont="1" applyFill="1" applyBorder="1" applyAlignment="1">
      <x:alignment wrapText="1"/>
    </x:xf>
    <x:xf numFmtId="0" fontId="2" fillId="49" borderId="6" xfId="0" applyNumberFormat="1" applyFont="1" applyFill="1" applyBorder="1" applyAlignment="1">
      <x:alignment wrapText="1"/>
    </x:xf>
    <x:xf numFmtId="0" fontId="2" fillId="49" borderId="8" xfId="0" applyNumberFormat="1" applyFont="1" applyFill="1" applyBorder="1" applyAlignment="1">
      <x:alignment wrapText="1"/>
    </x:xf>
    <x:xf numFmtId="0" fontId="8" fillId="50" borderId="0" xfId="0" applyNumberFormat="1" applyFont="1" applyFill="1" applyBorder="1" applyAlignment="1">
      <x:alignment wrapText="1"/>
    </x:xf>
    <x:xf numFmtId="0" fontId="12" fillId="48" borderId="0" xfId="0" applyNumberFormat="1" applyFont="1" applyFill="1" applyBorder="1" applyAlignment="1">
      <x:alignment wrapText="1"/>
    </x:xf>
    <x:xf numFmtId="0" fontId="2" fillId="49" borderId="7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7a43df98342ed" /><Relationship Type="http://schemas.openxmlformats.org/officeDocument/2006/relationships/theme" Target="/xl/theme/theme1.xml" Id="R409a1e3976824045" /><Relationship Type="http://schemas.microsoft.com/office/2022/11/relationships/FeaturePropertyBag" Target="/xl/featurePropertyBag/featurePropertyBag.xml" Id="R2c41c3452cf64a1f" /><Relationship Type="http://schemas.openxmlformats.org/officeDocument/2006/relationships/sharedStrings" Target="/xl/sharedStrings.xml" Id="Rf0c62d752ca04fd1" /><Relationship Type="http://schemas.openxmlformats.org/officeDocument/2006/relationships/worksheet" Target="/xl/worksheets/sheet1.xml" Id="Rfef5dfcb25494afa" /><Relationship Type="http://schemas.openxmlformats.org/officeDocument/2006/relationships/worksheet" Target="/xl/worksheets/sheet2.xml" Id="Re3cb499a776f4dde" /><Relationship Type="http://schemas.openxmlformats.org/officeDocument/2006/relationships/worksheet" Target="/xl/worksheets/sheet3.xml" Id="Ra0e143af98d94860" /><Relationship Type="http://schemas.openxmlformats.org/officeDocument/2006/relationships/worksheet" Target="/xl/worksheets/sheet4.xml" Id="R04c93a28d7ce4b44" /><Relationship Type="http://schemas.openxmlformats.org/officeDocument/2006/relationships/worksheet" Target="/xl/worksheets/sheet5.xml" Id="R71fe185416d64bf7" /><Relationship Type="http://schemas.openxmlformats.org/officeDocument/2006/relationships/worksheet" Target="/xl/worksheets/sheet6.xml" Id="R7ac43ee063044b6f" /><Relationship Type="http://schemas.openxmlformats.org/officeDocument/2006/relationships/worksheet" Target="/xl/worksheets/sheet7.xml" Id="R6f37e41b88444ef6" /><Relationship Type="http://schemas.openxmlformats.org/officeDocument/2006/relationships/worksheet" Target="/xl/worksheets/sheet8.xml" Id="Ra902ff9aac794951" /><Relationship Type="http://schemas.openxmlformats.org/officeDocument/2006/relationships/worksheet" Target="/xl/worksheets/sheet9.xml" Id="R9e49fc3cc0d7446e" /><Relationship Type="http://schemas.microsoft.com/office/2017/10/relationships/person" Target="/xl/persons/person.xml" Id="R8232cf47fe3a43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b6359e11f0499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6f826675bc040c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272f8a128304a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Maximum D20 — final quantified cases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Max D20</c:v>
          </c:tx>
          <c:cat>
            <c:strRef>
              <c:f>'Summary'!$D$5:$D$9</c:f>
              <c:strCache>
                <c:ptCount val="0"/>
              </c:strCache>
            </c:strRef>
          </c:cat>
          <c:val>
            <c:numRef>
              <c:f>'Summary'!$E$5:$E$9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Nominal b=10 split sensitivity stays below 0.70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Max D20</c:v>
          </c:tx>
          <c:cat>
            <c:strRef>
              <c:f>'A66h Sensitivity'!$H$4:$H$6</c:f>
              <c:strCache>
                <c:ptCount val="0"/>
              </c:strCache>
            </c:strRef>
          </c:cat>
          <c:val>
            <c:numRef>
              <c:f>'A66h Sensitivity'!$I$4:$I$6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'A66h Sensitivity'!$H$4:$H$6</c:f>
              <c:strCache>
                <c:ptCount val="0"/>
              </c:strCache>
            </c:strRef>
          </c:cat>
          <c:val>
            <c:numRef>
              <c:f>'A66h Sensitivity'!$J$4:$J$6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All individual and combined cases pass D20 &lt;= 0.70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Max D20</c:v>
          </c:tx>
          <c:cat>
            <c:strRef>
              <c:f>'Robust Design'!$K$4:$K$9</c:f>
              <c:strCache>
                <c:ptCount val="0"/>
              </c:strCache>
            </c:strRef>
          </c:cat>
          <c:val>
            <c:numRef>
              <c:f>'Robust Design'!$L$4:$L$9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'Robust Design'!$K$4:$K$9</c:f>
              <c:strCache>
                <c:ptCount val="0"/>
              </c:strCache>
            </c:strRef>
          </c:cat>
          <c:val>
            <c:numRef>
              <c:f>'Robust Design'!$M$4:$M$9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b6359e11f0499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f826675bc040c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72f8a128304a1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Artem" id="{DF62A3D0-52C1-4A92-995E-F60D4C9A1F2E}"/>
</xltc:personList>
</file>

<file path=xl/tables/table1.xml><?xml version="1.0" encoding="utf-8"?>
<x:table xmlns:x="http://schemas.openxmlformats.org/spreadsheetml/2006/main" id="1" name="ComponentDamageTable" displayName="ComponentDamageTable" ref="A1:F32" headerRowCount="1" totalsRowCount="0" totalsRowShown="0">
  <x:tableColumns count="6">
    <x:tableColumn id="1" name="r_m"/>
    <x:tableColumn id="2" name="component"/>
    <x:tableColumn id="3" name="damage_20y"/>
    <x:tableColumn id="4" name="life_years_linear"/>
    <x:tableColumn id="5" name="status"/>
    <x:tableColumn id="6" name="basi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e878f4dec345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62b1a006c045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8e1f83d5b62c48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098821bbd20d40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4" max="4" width="24" hidden="0" customWidth="1"/>
    <x:col min="5" max="5" width="24" hidden="0" customWidth="1"/>
  </x:cols>
  <x:sheetData>
    <x:row r="1">
      <x:c r="A1" s="211" t="str">
        <x:v>PHASE 7 — ROBUST FATIGUE CLOSURE / 20 YEARS</x:v>
      </x:c>
      <x:c r="B1" s="211"/>
      <x:c r="C1" s="211"/>
      <x:c r="D1" s="211"/>
      <x:c r="E1" s="211"/>
      <x:c r="F1" s="12"/>
      <x:c r="G1" s="12"/>
      <x:c r="H1" s="12"/>
    </x:row>
    <x:row r="2">
      <x:c r="A2" s="12"/>
      <x:c r="B2" s="12"/>
      <x:c r="C2" s="12"/>
      <x:c r="D2" s="12"/>
      <x:c r="E2" s="12"/>
      <x:c r="F2" s="12"/>
      <x:c r="G2" s="12"/>
      <x:c r="H2" s="12"/>
    </x:row>
    <x:row r="3" ht="15" hidden="0" customHeight="1">
      <x:c r="A3" s="12"/>
      <x:c r="B3" s="12"/>
      <x:c r="C3" s="12"/>
      <x:c r="D3" s="12"/>
      <x:c r="E3" s="12"/>
      <x:c r="F3" s="12"/>
      <x:c r="G3" s="12"/>
      <x:c r="H3" s="12"/>
    </x:row>
    <x:row r="4" ht="15" hidden="0" customHeight="1">
      <x:c r="A4" s="212" t="str">
        <x:v>Metric</x:v>
      </x:c>
      <x:c r="B4" s="213" t="str">
        <x:v>Result</x:v>
      </x:c>
      <x:c r="C4" s="12"/>
      <x:c r="D4" s="212" t="str">
        <x:v>Component / case</x:v>
      </x:c>
      <x:c r="E4" s="213" t="str">
        <x:v>Max D20</x:v>
      </x:c>
      <x:c r="F4" s="12"/>
      <x:c r="G4" s="12"/>
      <x:c r="H4" s="12"/>
    </x:row>
    <x:row r="5" ht="15" hidden="0" customHeight="1">
      <x:c r="A5" s="214" t="str">
        <x:v>Engineering decision</x:v>
      </x:c>
      <x:c r="B5" s="214" t="str">
        <x:v>ROBUST PASS — all cases &lt;= 0.70</x:v>
      </x:c>
      <x:c r="C5" s="12"/>
      <x:c r="D5" s="12" t="str">
        <x:v>Shell / TE</x:v>
      </x:c>
      <x:c r="E5" s="161" t="n">
        <x:v>0.240465</x:v>
      </x:c>
      <x:c r="F5" s="12"/>
      <x:c r="G5" s="12"/>
      <x:c r="H5" s="12"/>
    </x:row>
    <x:row r="6" ht="15" hidden="0" customHeight="1">
      <x:c r="A6" s="12" t="str">
        <x:v>Final forward web</x:v>
      </x:c>
      <x:c r="B6" s="12" t="str">
        <x:v>5 DB/side; 60 mm H100; one zone</x:v>
      </x:c>
      <x:c r="C6" s="12"/>
      <x:c r="D6" s="12" t="str">
        <x:v>Spar cap</x:v>
      </x:c>
      <x:c r="E6" s="161" t="n">
        <x:v>0.000554947</x:v>
      </x:c>
      <x:c r="F6" s="12"/>
      <x:c r="G6" s="12"/>
      <x:c r="H6" s="12"/>
    </x:row>
    <x:row r="7" ht="15" hidden="0" customHeight="1">
      <x:c r="A7" s="12" t="str">
        <x:v>Final aft web</x:v>
      </x:c>
      <x:c r="B7" s="12" t="str">
        <x:v>6 DB/side; 60 mm H100; one zone</x:v>
      </x:c>
      <x:c r="C7" s="12"/>
      <x:c r="D7" s="12" t="str">
        <x:v>Robust web nominal</x:v>
      </x:c>
      <x:c r="E7" s="161" t="n">
        <x:v>0.05525279164532104</x:v>
      </x:c>
      <x:c r="F7" s="12"/>
      <x:c r="G7" s="12"/>
      <x:c r="H7" s="12"/>
    </x:row>
    <x:row r="8" ht="15" hidden="0" customHeight="1">
      <x:c r="A8" s="12" t="str">
        <x:v>Nominal web D20</x:v>
      </x:c>
      <x:c r="B8" s="161" t="n">
        <x:f>'Robust Design'!G4</x:f>
        <x:v>0.05525279164532104</x:v>
      </x:c>
      <x:c r="C8" s="12"/>
      <x:c r="D8" s="12" t="str">
        <x:v>Robust web worst</x:v>
      </x:c>
      <x:c r="E8" s="161" t="n">
        <x:v>0.6928719334586165</x:v>
      </x:c>
      <x:c r="F8" s="12"/>
      <x:c r="G8" s="12"/>
      <x:c r="H8" s="12"/>
    </x:row>
    <x:row r="9" ht="15" hidden="0" customHeight="1">
      <x:c r="A9" s="12" t="str">
        <x:v>Conservative b=9 D20</x:v>
      </x:c>
      <x:c r="B9" s="161" t="n">
        <x:f>'Robust Design'!G5</x:f>
        <x:v>0.29384533681693864</x:v>
      </x:c>
      <x:c r="C9" s="12"/>
      <x:c r="D9" s="12" t="str">
        <x:v>H100 core</x:v>
      </x:c>
      <x:c r="E9" s="161" t="n">
        <x:v>8.971869107947785e-19</x:v>
      </x:c>
      <x:c r="F9" s="12"/>
      <x:c r="G9" s="12"/>
      <x:c r="H9" s="12"/>
    </x:row>
    <x:row r="10" ht="15" hidden="0" customHeight="1">
      <x:c r="A10" s="12" t="str">
        <x:v>Combined b=9 / -10% D20</x:v>
      </x:c>
      <x:c r="B10" s="161" t="n">
        <x:f>'Robust Design'!G8</x:f>
        <x:v>0.6646686456804617</x:v>
      </x:c>
      <x:c r="C10" s="12"/>
      <x:c r="D10" s="12"/>
      <x:c r="E10" s="12"/>
      <x:c r="F10" s="12"/>
      <x:c r="G10" s="12"/>
      <x:c r="H10" s="12"/>
    </x:row>
    <x:row r="11" ht="15" hidden="0" customHeight="1">
      <x:c r="A11" s="12" t="str">
        <x:v>Combined b=9 / +10% D20</x:v>
      </x:c>
      <x:c r="B11" s="161" t="n">
        <x:f>'Robust Design'!G9</x:f>
        <x:v>0.6928719334586165</x:v>
      </x:c>
      <x:c r="C11" s="12"/>
      <x:c r="D11" s="12"/>
      <x:c r="E11" s="12"/>
      <x:c r="F11" s="12"/>
      <x:c r="G11" s="12"/>
      <x:c r="H11" s="12"/>
    </x:row>
    <x:row r="12" ht="15" hidden="0" customHeight="1">
      <x:c r="A12" s="12" t="str">
        <x:v>Robust target</x:v>
      </x:c>
      <x:c r="B12" s="161" t="n">
        <x:v>0.7</x:v>
      </x:c>
      <x:c r="C12" s="12"/>
      <x:c r="D12" s="12"/>
      <x:c r="E12" s="12"/>
      <x:c r="F12" s="12"/>
      <x:c r="G12" s="12"/>
      <x:c r="H12" s="12"/>
    </x:row>
    <x:row r="13" ht="15" hidden="0" customHeight="1">
      <x:c r="A13" s="12" t="str">
        <x:v>H100 sourced-curve max D20</x:v>
      </x:c>
      <x:c r="B13" s="161" t="n">
        <x:v>8.971869107947785e-19</x:v>
      </x:c>
      <x:c r="C13" s="12"/>
      <x:c r="D13" s="12"/>
      <x:c r="E13" s="12"/>
      <x:c r="F13" s="12"/>
      <x:c r="G13" s="12"/>
      <x:c r="H13" s="12"/>
    </x:row>
    <x:row r="14" ht="15" hidden="0" customHeight="1">
      <x:c r="A14" s="12" t="str">
        <x:v>Phase 7 verification</x:v>
      </x:c>
      <x:c r="B14" s="12" t="str">
        <x:v>34/34 PASS</x:v>
      </x:c>
      <x:c r="C14" s="12"/>
      <x:c r="D14" s="12"/>
      <x:c r="E14" s="12"/>
      <x:c r="F14" s="12"/>
      <x:c r="G14" s="12"/>
      <x:c r="H14" s="12"/>
    </x:row>
    <x:row r="15" ht="15" hidden="0" customHeight="1">
      <x:c r="A15" s="12" t="str">
        <x:v>Whole-project verification</x:v>
      </x:c>
      <x:c r="B15" s="12" t="str">
        <x:v>127/127 PASS</x:v>
      </x:c>
      <x:c r="C15" s="12"/>
      <x:c r="D15" s="12"/>
      <x:c r="E15" s="12"/>
      <x:c r="F15" s="12"/>
      <x:c r="G15" s="12"/>
      <x:c r="H15" s="12"/>
    </x:row>
    <x:row r="16" ht="15" hidden="0" customHeight="1">
      <x:c r="A16" s="12" t="str">
        <x:v>Scope</x:v>
      </x:c>
      <x:c r="B16" s="12" t="str">
        <x:v>Research / screening, not certification</x:v>
      </x:c>
      <x:c r="C16" s="12"/>
      <x:c r="D16" s="12"/>
      <x:c r="E16" s="12"/>
      <x:c r="F16" s="12"/>
      <x:c r="G16" s="12"/>
      <x:c r="H16" s="12"/>
    </x:row>
    <x:row r="17" ht="15" hidden="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</x:row>
  </x:sheetData>
  <x:mergeCells>
    <x:mergeCell ref="A1:H2"/>
    <x:mergeCell ref="A1:E1"/>
  </x:mergeCells>
  <x:conditionalFormatting sqref="B11:B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drawing xmlns:r="http://schemas.openxmlformats.org/officeDocument/2006/relationships" r:id="R14e878f4dec345a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17.75" hidden="0" customWidth="1"/>
    <x:col min="3" max="3" width="12.5" hidden="0" customWidth="1"/>
    <x:col min="4" max="4" width="17" hidden="0" customWidth="1"/>
    <x:col min="5" max="5" width="7.880000114440918" hidden="0" customWidth="1"/>
    <x:col min="6" max="6" width="58" hidden="0" customWidth="1"/>
  </x:cols>
  <x:sheetData>
    <x:row r="1" ht="15" hidden="0" customHeight="1">
      <x:c r="A1" s="15" t="str">
        <x:v>r_m</x:v>
      </x:c>
      <x:c r="B1" s="15" t="str">
        <x:v>component</x:v>
      </x:c>
      <x:c r="C1" s="15" t="str">
        <x:v>damage_20y</x:v>
      </x:c>
      <x:c r="D1" s="15" t="str">
        <x:v>life_years_linear</x:v>
      </x:c>
      <x:c r="E1" s="15" t="str">
        <x:v>status</x:v>
      </x:c>
      <x:c r="F1" s="15" t="str">
        <x:v>basis</x:v>
      </x:c>
    </x:row>
    <x:row r="2" ht="15" hidden="0" customHeight="1">
      <x:c r="A2" s="19" t="n">
        <x:v>0</x:v>
      </x:c>
      <x:c r="B2" s="15" t="str">
        <x:v>shell_and_TE_SNL_Triax</x:v>
      </x:c>
      <x:c r="C2" s="22" t="n">
        <x:v>8.910000000000004e-7</x:v>
      </x:c>
      <x:c r="D2" s="22" t="n">
        <x:v>22446689.113355767</x:v>
      </x:c>
      <x:c r="E2" s="15" t="str">
        <x:v>PASS</x:v>
      </x:c>
      <x:c r="F2" s="15" t="str">
        <x:v>SAND Table 26 flap+edge Miner damage; outboard target-shape extension</x:v>
      </x:c>
    </x:row>
    <x:row r="3" ht="15" hidden="0" customHeight="1">
      <x:c r="A3" s="19" t="n">
        <x:v>1.367</x:v>
      </x:c>
      <x:c r="B3" s="15" t="str">
        <x:v>shell_and_TE_SNL_Triax</x:v>
      </x:c>
      <x:c r="C3" s="22" t="n">
        <x:v>0.000036622415793274224</x:v>
      </x:c>
      <x:c r="D3" s="22" t="n">
        <x:v>546113.6183067705</x:v>
      </x:c>
      <x:c r="E3" s="15" t="str">
        <x:v>PASS</x:v>
      </x:c>
      <x:c r="F3" s="15" t="str">
        <x:v>SAND Table 26 flap+edge Miner damage; outboard target-shape extension</x:v>
      </x:c>
    </x:row>
    <x:row r="4" ht="15" hidden="0" customHeight="1">
      <x:c r="A4" s="19" t="n">
        <x:v>4.1</x:v>
      </x:c>
      <x:c r="B4" s="15" t="str">
        <x:v>shell_and_TE_SNL_Triax</x:v>
      </x:c>
      <x:c r="C4" s="22" t="n">
        <x:v>0.000014709999999999993</x:v>
      </x:c>
      <x:c r="D4" s="22" t="n">
        <x:v>1359619.3065941543</x:v>
      </x:c>
      <x:c r="E4" s="15" t="str">
        <x:v>PASS</x:v>
      </x:c>
      <x:c r="F4" s="15" t="str">
        <x:v>SAND Table 26 flap+edge Miner damage; outboard target-shape extension</x:v>
      </x:c>
    </x:row>
    <x:row r="5" ht="15" hidden="0" customHeight="1">
      <x:c r="A5" s="19" t="n">
        <x:v>6.833</x:v>
      </x:c>
      <x:c r="B5" s="15" t="str">
        <x:v>spar_cap_glass_UD</x:v>
      </x:c>
      <x:c r="C5" s="22" t="n">
        <x:v>0.000004830669929525739</x:v>
      </x:c>
      <x:c r="D5" s="22" t="n">
        <x:v>4140212.4947012356</x:v>
      </x:c>
      <x:c r="E5" s="15" t="str">
        <x:v>PASS</x:v>
      </x:c>
      <x:c r="F5" s="15" t="str">
        <x:v>SAND carbon-cap damage transferred by equivalent strain to E-LT-5500</x:v>
      </x:c>
    </x:row>
    <x:row r="6" ht="15" hidden="0" customHeight="1">
      <x:c r="A6" s="19" t="n">
        <x:v>6.833</x:v>
      </x:c>
      <x:c r="B6" s="15" t="str">
        <x:v>shell_and_TE_SNL_Triax</x:v>
      </x:c>
      <x:c r="C6" s="22" t="n">
        <x:v>0.000390006534432941</x:v>
      </x:c>
      <x:c r="D6" s="22" t="n">
        <x:v>51281.19206792127</x:v>
      </x:c>
      <x:c r="E6" s="15" t="str">
        <x:v>PASS</x:v>
      </x:c>
      <x:c r="F6" s="15" t="str">
        <x:v>SAND Table 26 flap+edge Miner damage; outboard target-shape extension</x:v>
      </x:c>
    </x:row>
    <x:row r="7" ht="15" hidden="0" customHeight="1">
      <x:c r="A7" s="19" t="n">
        <x:v>10.25</x:v>
      </x:c>
      <x:c r="B7" s="15" t="str">
        <x:v>spar_cap_glass_UD</x:v>
      </x:c>
      <x:c r="C7" s="22" t="n">
        <x:v>0.0005549468796574551</x:v>
      </x:c>
      <x:c r="D7" s="22" t="n">
        <x:v>36039.485459122036</x:v>
      </x:c>
      <x:c r="E7" s="15" t="str">
        <x:v>PASS</x:v>
      </x:c>
      <x:c r="F7" s="15" t="str">
        <x:v>SAND carbon-cap damage transferred by equivalent strain to E-LT-5500</x:v>
      </x:c>
    </x:row>
    <x:row r="8" ht="15" hidden="0" customHeight="1">
      <x:c r="A8" s="19" t="n">
        <x:v>10.25</x:v>
      </x:c>
      <x:c r="B8" s="15" t="str">
        <x:v>shell_and_TE_SNL_Triax</x:v>
      </x:c>
      <x:c r="C8" s="22" t="n">
        <x:v>0.24046499999999998</x:v>
      </x:c>
      <x:c r="D8" s="22" t="n">
        <x:v>83.17218722059344</x:v>
      </x:c>
      <x:c r="E8" s="15" t="str">
        <x:v>PASS</x:v>
      </x:c>
      <x:c r="F8" s="15" t="str">
        <x:v>SAND Table 26 flap+edge Miner damage; outboard target-shape extension</x:v>
      </x:c>
    </x:row>
    <x:row r="9" ht="15" hidden="0" customHeight="1">
      <x:c r="A9" s="19" t="n">
        <x:v>14.35</x:v>
      </x:c>
      <x:c r="B9" s="15" t="str">
        <x:v>spar_cap_glass_UD</x:v>
      </x:c>
      <x:c r="C9" s="22" t="n">
        <x:v>0.00013257773741678694</x:v>
      </x:c>
      <x:c r="D9" s="22" t="n">
        <x:v>150854.8900417998</x:v>
      </x:c>
      <x:c r="E9" s="15" t="str">
        <x:v>PASS</x:v>
      </x:c>
      <x:c r="F9" s="15" t="str">
        <x:v>SAND carbon-cap damage transferred by equivalent strain to E-LT-5500</x:v>
      </x:c>
    </x:row>
    <x:row r="10" ht="15" hidden="0" customHeight="1">
      <x:c r="A10" s="19" t="n">
        <x:v>14.35</x:v>
      </x:c>
      <x:c r="B10" s="15" t="str">
        <x:v>shell_and_TE_SNL_Triax</x:v>
      </x:c>
      <x:c r="C10" s="22" t="n">
        <x:v>0.02590599999999999</x:v>
      </x:c>
      <x:c r="D10" s="22" t="n">
        <x:v>772.0219254226822</x:v>
      </x:c>
      <x:c r="E10" s="15" t="str">
        <x:v>PASS</x:v>
      </x:c>
      <x:c r="F10" s="15" t="str">
        <x:v>SAND Table 26 flap+edge Miner damage; outboard target-shape extension</x:v>
      </x:c>
    </x:row>
    <x:row r="11" ht="15" hidden="0" customHeight="1">
      <x:c r="A11" s="19" t="n">
        <x:v>18.45</x:v>
      </x:c>
      <x:c r="B11" s="15" t="str">
        <x:v>spar_cap_glass_UD</x:v>
      </x:c>
      <x:c r="C11" s="22" t="n">
        <x:v>0.00005794782741698043</x:v>
      </x:c>
      <x:c r="D11" s="22" t="n">
        <x:v>345138.0473004482</x:v>
      </x:c>
      <x:c r="E11" s="15" t="str">
        <x:v>PASS</x:v>
      </x:c>
      <x:c r="F11" s="15" t="str">
        <x:v>SAND carbon-cap damage transferred by equivalent strain to E-LT-5500</x:v>
      </x:c>
    </x:row>
    <x:row r="12" ht="15" hidden="0" customHeight="1">
      <x:c r="A12" s="19" t="n">
        <x:v>18.45</x:v>
      </x:c>
      <x:c r="B12" s="15" t="str">
        <x:v>shell_and_TE_SNL_Triax</x:v>
      </x:c>
      <x:c r="C12" s="22" t="n">
        <x:v>0.003994499999999999</x:v>
      </x:c>
      <x:c r="D12" s="22" t="n">
        <x:v>5006.884466140945</x:v>
      </x:c>
      <x:c r="E12" s="15" t="str">
        <x:v>PASS</x:v>
      </x:c>
      <x:c r="F12" s="15" t="str">
        <x:v>SAND Table 26 flap+edge Miner damage; outboard target-shape extension</x:v>
      </x:c>
    </x:row>
    <x:row r="13" ht="15" hidden="0" customHeight="1">
      <x:c r="A13" s="19" t="n">
        <x:v>22.55</x:v>
      </x:c>
      <x:c r="B13" s="15" t="str">
        <x:v>spar_cap_glass_UD</x:v>
      </x:c>
      <x:c r="C13" s="22" t="n">
        <x:v>0.00004094809189775667</x:v>
      </x:c>
      <x:c r="D13" s="22" t="n">
        <x:v>488423.2469229096</x:v>
      </x:c>
      <x:c r="E13" s="15" t="str">
        <x:v>PASS</x:v>
      </x:c>
      <x:c r="F13" s="15" t="str">
        <x:v>SAND carbon-cap damage transferred by equivalent strain to E-LT-5500</x:v>
      </x:c>
    </x:row>
    <x:row r="14" ht="15" hidden="0" customHeight="1">
      <x:c r="A14" s="19" t="n">
        <x:v>22.55</x:v>
      </x:c>
      <x:c r="B14" s="15" t="str">
        <x:v>shell_and_TE_SNL_Triax</x:v>
      </x:c>
      <x:c r="C14" s="22" t="n">
        <x:v>0.0008367000000000003</x:v>
      </x:c>
      <x:c r="D14" s="22" t="n">
        <x:v>23903.4301422254</x:v>
      </x:c>
      <x:c r="E14" s="15" t="str">
        <x:v>PASS</x:v>
      </x:c>
      <x:c r="F14" s="15" t="str">
        <x:v>SAND Table 26 flap+edge Miner damage; outboard target-shape extension</x:v>
      </x:c>
    </x:row>
    <x:row r="15" ht="15" hidden="0" customHeight="1">
      <x:c r="A15" s="19" t="n">
        <x:v>26.65</x:v>
      </x:c>
      <x:c r="B15" s="15" t="str">
        <x:v>spar_cap_glass_UD</x:v>
      </x:c>
      <x:c r="C15" s="22" t="n">
        <x:v>0.00006233109196183941</x:v>
      </x:c>
      <x:c r="D15" s="22" t="n">
        <x:v>320867.1526602563</x:v>
      </x:c>
      <x:c r="E15" s="15" t="str">
        <x:v>PASS</x:v>
      </x:c>
      <x:c r="F15" s="15" t="str">
        <x:v>SAND carbon-cap damage transferred by equivalent strain to E-LT-5500</x:v>
      </x:c>
    </x:row>
    <x:row r="16" ht="15" hidden="0" customHeight="1">
      <x:c r="A16" s="19" t="n">
        <x:v>26.65</x:v>
      </x:c>
      <x:c r="B16" s="15" t="str">
        <x:v>shell_and_TE_SNL_Triax</x:v>
      </x:c>
      <x:c r="C16" s="22" t="n">
        <x:v>0.0010862009950379236</x:v>
      </x:c>
      <x:c r="D16" s="22" t="n">
        <x:v>18412.798452004474</x:v>
      </x:c>
      <x:c r="E16" s="15" t="str">
        <x:v>PASS</x:v>
      </x:c>
      <x:c r="F16" s="15" t="str">
        <x:v>SAND Table 26 flap+edge Miner damage; outboard target-shape extension</x:v>
      </x:c>
    </x:row>
    <x:row r="17" ht="15" hidden="0" customHeight="1">
      <x:c r="A17" s="19" t="n">
        <x:v>30.75</x:v>
      </x:c>
      <x:c r="B17" s="15" t="str">
        <x:v>spar_cap_glass_UD</x:v>
      </x:c>
      <x:c r="C17" s="22" t="n">
        <x:v>0.000026703044108034047</x:v>
      </x:c>
      <x:c r="D17" s="22" t="n">
        <x:v>748978.2782474105</x:v>
      </x:c>
      <x:c r="E17" s="15" t="str">
        <x:v>PASS</x:v>
      </x:c>
      <x:c r="F17" s="15" t="str">
        <x:v>SAND carbon-cap damage transferred by equivalent strain to E-LT-5500</x:v>
      </x:c>
    </x:row>
    <x:row r="18" ht="15" hidden="0" customHeight="1">
      <x:c r="A18" s="19" t="n">
        <x:v>30.75</x:v>
      </x:c>
      <x:c r="B18" s="15" t="str">
        <x:v>shell_and_TE_SNL_Triax</x:v>
      </x:c>
      <x:c r="C18" s="22" t="n">
        <x:v>0.0005558305331053919</x:v>
      </x:c>
      <x:c r="D18" s="22" t="n">
        <x:v>35982.19026986733</x:v>
      </x:c>
      <x:c r="E18" s="15" t="str">
        <x:v>PASS</x:v>
      </x:c>
      <x:c r="F18" s="15" t="str">
        <x:v>SAND Table 26 flap+edge Miner damage; outboard target-shape extension</x:v>
      </x:c>
    </x:row>
    <x:row r="19" ht="15" hidden="0" customHeight="1">
      <x:c r="A19" s="19" t="n">
        <x:v>34.85</x:v>
      </x:c>
      <x:c r="B19" s="15" t="str">
        <x:v>spar_cap_glass_UD</x:v>
      </x:c>
      <x:c r="C19" s="22" t="n">
        <x:v>0.000034528095894173894</x:v>
      </x:c>
      <x:c r="D19" s="22" t="n">
        <x:v>579238.4283598652</x:v>
      </x:c>
      <x:c r="E19" s="15" t="str">
        <x:v>PASS</x:v>
      </x:c>
      <x:c r="F19" s="15" t="str">
        <x:v>SAND carbon-cap damage transferred by equivalent strain to E-LT-5500</x:v>
      </x:c>
    </x:row>
    <x:row r="20" ht="15" hidden="0" customHeight="1">
      <x:c r="A20" s="19" t="n">
        <x:v>34.85</x:v>
      </x:c>
      <x:c r="B20" s="15" t="str">
        <x:v>shell_and_TE_SNL_Triax</x:v>
      </x:c>
      <x:c r="C20" s="22" t="n">
        <x:v>0.000356217892165086</x:v>
      </x:c>
      <x:c r="D20" s="22" t="n">
        <x:v>56145.41110902756</x:v>
      </x:c>
      <x:c r="E20" s="15" t="str">
        <x:v>PASS</x:v>
      </x:c>
      <x:c r="F20" s="15" t="str">
        <x:v>SAND Table 26 flap+edge Miner damage; outboard target-shape extension</x:v>
      </x:c>
    </x:row>
    <x:row r="21" ht="15" hidden="0" customHeight="1">
      <x:c r="A21" s="19" t="n">
        <x:v>38.95</x:v>
      </x:c>
      <x:c r="B21" s="15" t="str">
        <x:v>spar_cap_glass_UD</x:v>
      </x:c>
      <x:c r="C21" s="22" t="n">
        <x:v>0.000011719160913725747</x:v>
      </x:c>
      <x:c r="D21" s="22" t="n">
        <x:v>1706606.8251162544</x:v>
      </x:c>
      <x:c r="E21" s="15" t="str">
        <x:v>PASS</x:v>
      </x:c>
      <x:c r="F21" s="15" t="str">
        <x:v>SAND carbon-cap damage transferred by equivalent strain to E-LT-5500</x:v>
      </x:c>
    </x:row>
    <x:row r="22" ht="15" hidden="0" customHeight="1">
      <x:c r="A22" s="19" t="n">
        <x:v>38.95</x:v>
      </x:c>
      <x:c r="B22" s="15" t="str">
        <x:v>shell_and_TE_SNL_Triax</x:v>
      </x:c>
      <x:c r="C22" s="22" t="n">
        <x:v>0.0002227981037837726</x:v>
      </x:c>
      <x:c r="D22" s="22" t="n">
        <x:v>89767.37081842565</x:v>
      </x:c>
      <x:c r="E22" s="15" t="str">
        <x:v>PASS</x:v>
      </x:c>
      <x:c r="F22" s="15" t="str">
        <x:v>SAND Table 26 flap+edge Miner damage; outboard target-shape extension</x:v>
      </x:c>
    </x:row>
    <x:row r="23" ht="15" hidden="0" customHeight="1">
      <x:c r="A23" s="19" t="n">
        <x:v>43.05</x:v>
      </x:c>
      <x:c r="B23" s="15" t="str">
        <x:v>spar_cap_glass_UD</x:v>
      </x:c>
      <x:c r="C23" s="22" t="n">
        <x:v>0.000007968160463833927</x:v>
      </x:c>
      <x:c r="D23" s="22" t="n">
        <x:v>2509989.613132977</x:v>
      </x:c>
      <x:c r="E23" s="15" t="str">
        <x:v>PASS</x:v>
      </x:c>
      <x:c r="F23" s="15" t="str">
        <x:v>SAND carbon-cap damage transferred by equivalent strain to E-LT-5500</x:v>
      </x:c>
    </x:row>
    <x:row r="24" ht="15" hidden="0" customHeight="1">
      <x:c r="A24" s="19" t="n">
        <x:v>43.05</x:v>
      </x:c>
      <x:c r="B24" s="15" t="str">
        <x:v>shell_and_TE_SNL_Triax</x:v>
      </x:c>
      <x:c r="C24" s="22" t="n">
        <x:v>0.00007820664613575074</x:v>
      </x:c>
      <x:c r="D24" s="22" t="n">
        <x:v>255732.74124662104</x:v>
      </x:c>
      <x:c r="E24" s="15" t="str">
        <x:v>PASS</x:v>
      </x:c>
      <x:c r="F24" s="15" t="str">
        <x:v>SAND Table 26 flap+edge Miner damage; outboard target-shape extension</x:v>
      </x:c>
    </x:row>
    <x:row r="25" ht="15" hidden="0" customHeight="1">
      <x:c r="A25" s="19" t="n">
        <x:v>47.15</x:v>
      </x:c>
      <x:c r="B25" s="15" t="str">
        <x:v>spar_cap_glass_UD</x:v>
      </x:c>
      <x:c r="C25" s="22" t="n">
        <x:v>6.890819845438981e-7</x:v>
      </x:c>
      <x:c r="D25" s="22" t="n">
        <x:v>29024122.598761532</x:v>
      </x:c>
      <x:c r="E25" s="15" t="str">
        <x:v>PASS</x:v>
      </x:c>
      <x:c r="F25" s="15" t="str">
        <x:v>SAND carbon-cap damage transferred by equivalent strain to E-LT-5500</x:v>
      </x:c>
    </x:row>
    <x:row r="26" ht="15" hidden="0" customHeight="1">
      <x:c r="A26" s="19" t="n">
        <x:v>47.15</x:v>
      </x:c>
      <x:c r="B26" s="15" t="str">
        <x:v>shell_and_TE_SNL_Triax</x:v>
      </x:c>
      <x:c r="C26" s="22" t="n">
        <x:v>0.000011861265137226597</x:v>
      </x:c>
      <x:c r="D26" s="22" t="n">
        <x:v>1686160.773628605</x:v>
      </x:c>
      <x:c r="E26" s="15" t="str">
        <x:v>PASS</x:v>
      </x:c>
      <x:c r="F26" s="15" t="str">
        <x:v>SAND Table 26 flap+edge Miner damage; outboard target-shape extension</x:v>
      </x:c>
    </x:row>
    <x:row r="27" ht="15" hidden="0" customHeight="1">
      <x:c r="A27" s="19" t="n">
        <x:v>51.25</x:v>
      </x:c>
      <x:c r="B27" s="15" t="str">
        <x:v>spar_cap_glass_UD</x:v>
      </x:c>
      <x:c r="C27" s="22" t="n">
        <x:v>1.719512366732209e-7</x:v>
      </x:c>
      <x:c r="D27" s="22" t="n">
        <x:v>116312045.12944764</x:v>
      </x:c>
      <x:c r="E27" s="15" t="str">
        <x:v>PASS</x:v>
      </x:c>
      <x:c r="F27" s="15" t="str">
        <x:v>SAND carbon-cap damage transferred by equivalent strain to E-LT-5500</x:v>
      </x:c>
    </x:row>
    <x:row r="28" ht="15" hidden="0" customHeight="1">
      <x:c r="A28" s="19" t="n">
        <x:v>51.25</x:v>
      </x:c>
      <x:c r="B28" s="15" t="str">
        <x:v>shell_and_TE_SNL_Triax</x:v>
      </x:c>
      <x:c r="C28" s="22" t="n">
        <x:v>0.0000010044925860113827</x:v>
      </x:c>
      <x:c r="D28" s="22" t="n">
        <x:v>19910550.1409578</x:v>
      </x:c>
      <x:c r="E28" s="15" t="str">
        <x:v>PASS</x:v>
      </x:c>
      <x:c r="F28" s="15" t="str">
        <x:v>SAND Table 26 flap+edge Miner damage; outboard target-shape extension</x:v>
      </x:c>
    </x:row>
    <x:row r="29" ht="15" hidden="0" customHeight="1">
      <x:c r="A29" s="19" t="n">
        <x:v>54.667</x:v>
      </x:c>
      <x:c r="B29" s="15" t="str">
        <x:v>shell_and_TE_SNL_Triax</x:v>
      </x:c>
      <x:c r="C29" s="22" t="n">
        <x:v>1.2054743412560858e-9</x:v>
      </x:c>
      <x:c r="D29" s="22" t="n">
        <x:v>16590979430.686436</x:v>
      </x:c>
      <x:c r="E29" s="15" t="str">
        <x:v>PASS</x:v>
      </x:c>
      <x:c r="F29" s="15" t="str">
        <x:v>SAND Table 26 flap+edge Miner damage; outboard target-shape extension</x:v>
      </x:c>
    </x:row>
    <x:row r="30" ht="15" hidden="0" customHeight="1">
      <x:c r="A30" s="19" t="n">
        <x:v>57.4</x:v>
      </x:c>
      <x:c r="B30" s="15" t="str">
        <x:v>shell_and_TE_SNL_Triax</x:v>
      </x:c>
      <x:c r="C30" s="22" t="n">
        <x:v>1.2840461374395108e-10</x:v>
      </x:c>
      <x:c r="D30" s="22" t="n">
        <x:v>155757643100.59433</x:v>
      </x:c>
      <x:c r="E30" s="15" t="str">
        <x:v>PASS</x:v>
      </x:c>
      <x:c r="F30" s="15" t="str">
        <x:v>SAND Table 26 flap+edge Miner damage; outboard target-shape extension</x:v>
      </x:c>
    </x:row>
    <x:row r="31" ht="15" hidden="0" customHeight="1">
      <x:c r="A31" s="19" t="n">
        <x:v>60.133</x:v>
      </x:c>
      <x:c r="B31" s="15" t="str">
        <x:v>shell_and_TE_SNL_Triax</x:v>
      </x:c>
      <x:c r="C31" s="22" t="n">
        <x:v>0</x:v>
      </x:c>
      <x:c r="D31" s="22" t="str">
        <x:v>inf</x:v>
      </x:c>
      <x:c r="E31" s="15" t="str">
        <x:v>PASS</x:v>
      </x:c>
      <x:c r="F31" s="15" t="str">
        <x:v>SAND Table 26 flap+edge Miner damage; outboard target-shape extension</x:v>
      </x:c>
    </x:row>
    <x:row r="32" ht="15" hidden="0" customHeight="1">
      <x:c r="A32" s="19" t="n">
        <x:v>61.5</x:v>
      </x:c>
      <x:c r="B32" s="15" t="str">
        <x:v>shell_and_TE_SNL_Triax</x:v>
      </x:c>
      <x:c r="C32" s="22" t="n">
        <x:v>0</x:v>
      </x:c>
      <x:c r="D32" s="22" t="str">
        <x:v>inf</x:v>
      </x:c>
      <x:c r="E32" s="15" t="str">
        <x:v>PASS</x:v>
      </x:c>
      <x:c r="F32" s="15" t="str">
        <x:v>SAND Table 26 flap+edge Miner damage; outboard target-shape extension</x:v>
      </x:c>
    </x:row>
  </x:sheetData>
  <x:conditionalFormatting sqref="E2:E32">
    <x:cfRule type="containsText" dxfId="2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f62b1a006c0458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26.399999618530273" hidden="0" customHeight="1">
      <x:c r="A1" s="212" t="str">
        <x:v>case_id</x:v>
      </x:c>
      <x:c r="B1" s="216" t="str">
        <x:v>r_m</x:v>
      </x:c>
      <x:c r="C1" s="216" t="str">
        <x:v>web</x:v>
      </x:c>
      <x:c r="D1" s="216" t="str">
        <x:v>design_variant</x:v>
      </x:c>
      <x:c r="E1" s="216" t="str">
        <x:v>split_method</x:v>
      </x:c>
      <x:c r="F1" s="216" t="str">
        <x:v>split_error_percent</x:v>
      </x:c>
      <x:c r="G1" s="216" t="str">
        <x:v>nominal_load_fraction</x:v>
      </x:c>
      <x:c r="H1" s="216" t="str">
        <x:v>load_fraction</x:v>
      </x:c>
      <x:c r="I1" s="216" t="str">
        <x:v>face_layers_each_side</x:v>
      </x:c>
      <x:c r="J1" s="216" t="str">
        <x:v>core_thickness_m</x:v>
      </x:c>
      <x:c r="K1" s="216" t="str">
        <x:v>A66_N_per_m</x:v>
      </x:c>
      <x:c r="L1" s="216" t="str">
        <x:v>A66h_N</x:v>
      </x:c>
      <x:c r="M1" s="216" t="str">
        <x:v>equivalent_total_shear_range_N</x:v>
      </x:c>
      <x:c r="N1" s="216" t="str">
        <x:v>face_shear_range_MPa</x:v>
      </x:c>
      <x:c r="O1" s="216" t="str">
        <x:v>curve_C_MPa</x:v>
      </x:c>
      <x:c r="P1" s="216" t="str">
        <x:v>curve_b</x:v>
      </x:c>
      <x:c r="Q1" s="216" t="str">
        <x:v>curve_source</x:v>
      </x:c>
      <x:c r="R1" s="216" t="str">
        <x:v>face_damage_20y_proxy</x:v>
      </x:c>
      <x:c r="S1" s="216" t="str">
        <x:v>face_status</x:v>
      </x:c>
      <x:c r="T1" s="216" t="str">
        <x:v>core_shear_range_MPa</x:v>
      </x:c>
      <x:c r="U1" s="216" t="str">
        <x:v>core_damage_20y</x:v>
      </x:c>
      <x:c r="V1" s="213" t="str">
        <x:v>core_fatigue_status</x:v>
      </x:c>
    </x:row>
    <x:row r="2" ht="66" hidden="0" customHeight="1">
      <x:c r="A2" s="12" t="str">
        <x:v>nominal_b10_split0</x:v>
      </x:c>
      <x:c r="B2" s="12" t="n">
        <x:v>1.3667</x:v>
      </x:c>
      <x:c r="C2" s="12" t="str">
        <x:v>forward</x:v>
      </x:c>
      <x:c r="D2" s="12" t="str">
        <x:v>day4_baseline</x:v>
      </x:c>
      <x:c r="E2" s="12" t="str">
        <x:v>stiffness_based</x:v>
      </x:c>
      <x:c r="F2" s="12" t="n">
        <x:v>0</x:v>
      </x:c>
      <x:c r="G2" s="12" t="n">
        <x:v>0.5</x:v>
      </x:c>
      <x:c r="H2" s="12" t="n">
        <x:v>0.5</x:v>
      </x:c>
      <x:c r="I2" s="12" t="n">
        <x:v>2</x:v>
      </x:c>
      <x:c r="J2" s="12" t="n">
        <x:v>0.05</x:v>
      </x:c>
      <x:c r="K2" s="12" t="n">
        <x:v>48300000</x:v>
      </x:c>
      <x:c r="L2" s="12" t="n">
        <x:v>160953068.6466621</x:v>
      </x:c>
      <x:c r="M2" s="12" t="n">
        <x:v>242944.6937188257</x:v>
      </x:c>
      <x:c r="N2" s="12" t="n">
        <x:v>8.905538148438389</x:v>
      </x:c>
      <x:c r="O2" s="12" t="n">
        <x:v>62</x:v>
      </x:c>
      <x:c r="P2" s="12" t="n">
        <x:v>10</x:v>
      </x:c>
      <x:c r="Q2" s="12" t="str">
        <x:v>Conservative design envelope: C=62 MPa from MAT-002 static shear strength and b=10</x:v>
      </x:c>
      <x:c r="R2" s="12" t="n">
        <x:v>0.09364307203989372</x:v>
      </x:c>
      <x:c r="S2" s="12" t="str">
        <x:v>PASS</x:v>
      </x:c>
      <x:c r="T2" s="12" t="n">
        <x:v>0.01660354570047835</x:v>
      </x:c>
      <x:c r="U2" s="12" t="n">
        <x:v>5.365843181261552e-19</x:v>
      </x:c>
      <x:c r="V2" s="12" t="str">
        <x:v>SOURCED_CURVE_PASS</x:v>
      </x:c>
    </x:row>
    <x:row r="3" ht="66" hidden="0" customHeight="1">
      <x:c r="A3" s="12" t="str">
        <x:v>nominal_b10_split0</x:v>
      </x:c>
      <x:c r="B3" s="12" t="n">
        <x:v>1.3667</x:v>
      </x:c>
      <x:c r="C3" s="12" t="str">
        <x:v>aft</x:v>
      </x:c>
      <x:c r="D3" s="12" t="str">
        <x:v>day4_baseline</x:v>
      </x:c>
      <x:c r="E3" s="12" t="str">
        <x:v>stiffness_based</x:v>
      </x:c>
      <x:c r="F3" s="12" t="n">
        <x:v>0</x:v>
      </x:c>
      <x:c r="G3" s="12" t="n">
        <x:v>0.5</x:v>
      </x:c>
      <x:c r="H3" s="12" t="n">
        <x:v>0.5</x:v>
      </x:c>
      <x:c r="I3" s="12" t="n">
        <x:v>2</x:v>
      </x:c>
      <x:c r="J3" s="12" t="n">
        <x:v>0.05</x:v>
      </x:c>
      <x:c r="K3" s="12" t="n">
        <x:v>48300000</x:v>
      </x:c>
      <x:c r="L3" s="12" t="n">
        <x:v>160953068.6466621</x:v>
      </x:c>
      <x:c r="M3" s="12" t="n">
        <x:v>242944.6937188257</x:v>
      </x:c>
      <x:c r="N3" s="12" t="n">
        <x:v>8.905538148438389</x:v>
      </x:c>
      <x:c r="O3" s="12" t="n">
        <x:v>62</x:v>
      </x:c>
      <x:c r="P3" s="12" t="n">
        <x:v>10</x:v>
      </x:c>
      <x:c r="Q3" s="12" t="str">
        <x:v>Conservative design envelope: C=62 MPa from MAT-002 static shear strength and b=10</x:v>
      </x:c>
      <x:c r="R3" s="12" t="n">
        <x:v>0.09364307203989372</x:v>
      </x:c>
      <x:c r="S3" s="12" t="str">
        <x:v>PASS</x:v>
      </x:c>
      <x:c r="T3" s="12" t="n">
        <x:v>0.01660354570047835</x:v>
      </x:c>
      <x:c r="U3" s="12" t="n">
        <x:v>5.365843181261552e-19</x:v>
      </x:c>
      <x:c r="V3" s="12" t="str">
        <x:v>SOURCED_CURVE_PASS</x:v>
      </x:c>
    </x:row>
    <x:row r="4" ht="66" hidden="0" customHeight="1">
      <x:c r="A4" s="12" t="str">
        <x:v>nominal_b10_equal50</x:v>
      </x:c>
      <x:c r="B4" s="12" t="n">
        <x:v>1.3667</x:v>
      </x:c>
      <x:c r="C4" s="12" t="str">
        <x:v>forward</x:v>
      </x:c>
      <x:c r="D4" s="12" t="str">
        <x:v>day4_baseline</x:v>
      </x:c>
      <x:c r="E4" s="12" t="str">
        <x:v>equal_50_50</x:v>
      </x:c>
      <x:c r="F4" s="12" t="n">
        <x:v>0</x:v>
      </x:c>
      <x:c r="G4" s="12" t="n">
        <x:v>0.5</x:v>
      </x:c>
      <x:c r="H4" s="12" t="n">
        <x:v>0.5</x:v>
      </x:c>
      <x:c r="I4" s="12" t="n">
        <x:v>2</x:v>
      </x:c>
      <x:c r="J4" s="12" t="n">
        <x:v>0.05</x:v>
      </x:c>
      <x:c r="K4" s="12" t="n">
        <x:v>48300000</x:v>
      </x:c>
      <x:c r="L4" s="12" t="n">
        <x:v>160953068.6466621</x:v>
      </x:c>
      <x:c r="M4" s="12" t="n">
        <x:v>242944.6937188257</x:v>
      </x:c>
      <x:c r="N4" s="12" t="n">
        <x:v>8.905538148438389</x:v>
      </x:c>
      <x:c r="O4" s="12" t="n">
        <x:v>62</x:v>
      </x:c>
      <x:c r="P4" s="12" t="n">
        <x:v>10</x:v>
      </x:c>
      <x:c r="Q4" s="12" t="str">
        <x:v>Conservative design envelope: C=62 MPa from MAT-002 static shear strength and b=10</x:v>
      </x:c>
      <x:c r="R4" s="12" t="n">
        <x:v>0.09364307203989372</x:v>
      </x:c>
      <x:c r="S4" s="12" t="str">
        <x:v>PASS</x:v>
      </x:c>
      <x:c r="T4" s="12" t="n">
        <x:v>0.01660354570047835</x:v>
      </x:c>
      <x:c r="U4" s="12" t="n">
        <x:v>5.365843181261552e-19</x:v>
      </x:c>
      <x:c r="V4" s="12" t="str">
        <x:v>SOURCED_CURVE_PASS</x:v>
      </x:c>
    </x:row>
    <x:row r="5" ht="66" hidden="0" customHeight="1">
      <x:c r="A5" s="12" t="str">
        <x:v>nominal_b10_equal50</x:v>
      </x:c>
      <x:c r="B5" s="12" t="n">
        <x:v>1.3667</x:v>
      </x:c>
      <x:c r="C5" s="12" t="str">
        <x:v>aft</x:v>
      </x:c>
      <x:c r="D5" s="12" t="str">
        <x:v>day4_baseline</x:v>
      </x:c>
      <x:c r="E5" s="12" t="str">
        <x:v>equal_50_50</x:v>
      </x:c>
      <x:c r="F5" s="12" t="n">
        <x:v>0</x:v>
      </x:c>
      <x:c r="G5" s="12" t="n">
        <x:v>0.5</x:v>
      </x:c>
      <x:c r="H5" s="12" t="n">
        <x:v>0.5</x:v>
      </x:c>
      <x:c r="I5" s="12" t="n">
        <x:v>2</x:v>
      </x:c>
      <x:c r="J5" s="12" t="n">
        <x:v>0.05</x:v>
      </x:c>
      <x:c r="K5" s="12" t="n">
        <x:v>48300000</x:v>
      </x:c>
      <x:c r="L5" s="12" t="n">
        <x:v>160953068.6466621</x:v>
      </x:c>
      <x:c r="M5" s="12" t="n">
        <x:v>242944.6937188257</x:v>
      </x:c>
      <x:c r="N5" s="12" t="n">
        <x:v>8.905538148438389</x:v>
      </x:c>
      <x:c r="O5" s="12" t="n">
        <x:v>62</x:v>
      </x:c>
      <x:c r="P5" s="12" t="n">
        <x:v>10</x:v>
      </x:c>
      <x:c r="Q5" s="12" t="str">
        <x:v>Conservative design envelope: C=62 MPa from MAT-002 static shear strength and b=10</x:v>
      </x:c>
      <x:c r="R5" s="12" t="n">
        <x:v>0.09364307203989372</x:v>
      </x:c>
      <x:c r="S5" s="12" t="str">
        <x:v>PASS</x:v>
      </x:c>
      <x:c r="T5" s="12" t="n">
        <x:v>0.01660354570047835</x:v>
      </x:c>
      <x:c r="U5" s="12" t="n">
        <x:v>5.365843181261552e-19</x:v>
      </x:c>
      <x:c r="V5" s="12" t="str">
        <x:v>SOURCED_CURVE_PASS</x:v>
      </x:c>
    </x:row>
    <x:row r="6" ht="66" hidden="0" customHeight="1">
      <x:c r="A6" s="12" t="str">
        <x:v>nominal_b10_split0</x:v>
      </x:c>
      <x:c r="B6" s="12" t="n">
        <x:v>1.3667</x:v>
      </x:c>
      <x:c r="C6" s="12" t="str">
        <x:v>forward</x:v>
      </x:c>
      <x:c r="D6" s="12" t="str">
        <x:v>fatigue_reinforced_legacy</x:v>
      </x:c>
      <x:c r="E6" s="12" t="str">
        <x:v>stiffness_based</x:v>
      </x:c>
      <x:c r="F6" s="12" t="n">
        <x:v>0</x:v>
      </x:c>
      <x:c r="G6" s="12" t="n">
        <x:v>0.5</x:v>
      </x:c>
      <x:c r="H6" s="12" t="n">
        <x:v>0.5</x:v>
      </x:c>
      <x:c r="I6" s="12" t="n">
        <x:v>2</x:v>
      </x:c>
      <x:c r="J6" s="12" t="n">
        <x:v>0.05</x:v>
      </x:c>
      <x:c r="K6" s="12" t="n">
        <x:v>48300000</x:v>
      </x:c>
      <x:c r="L6" s="12" t="n">
        <x:v>160953068.6466621</x:v>
      </x:c>
      <x:c r="M6" s="12" t="n">
        <x:v>242944.6937188257</x:v>
      </x:c>
      <x:c r="N6" s="12" t="n">
        <x:v>8.905538148438389</x:v>
      </x:c>
      <x:c r="O6" s="12" t="n">
        <x:v>62</x:v>
      </x:c>
      <x:c r="P6" s="12" t="n">
        <x:v>10</x:v>
      </x:c>
      <x:c r="Q6" s="12" t="str">
        <x:v>Conservative design envelope: C=62 MPa from MAT-002 static shear strength and b=10</x:v>
      </x:c>
      <x:c r="R6" s="12" t="n">
        <x:v>0.09364307203989372</x:v>
      </x:c>
      <x:c r="S6" s="12" t="str">
        <x:v>PASS</x:v>
      </x:c>
      <x:c r="T6" s="12" t="n">
        <x:v>0.01660354570047835</x:v>
      </x:c>
      <x:c r="U6" s="12" t="n">
        <x:v>5.365843181261552e-19</x:v>
      </x:c>
      <x:c r="V6" s="12" t="str">
        <x:v>SOURCED_CURVE_PASS</x:v>
      </x:c>
    </x:row>
    <x:row r="7" ht="66" hidden="0" customHeight="1">
      <x:c r="A7" s="12" t="str">
        <x:v>nominal_b10_split0</x:v>
      </x:c>
      <x:c r="B7" s="12" t="n">
        <x:v>1.3667</x:v>
      </x:c>
      <x:c r="C7" s="12" t="str">
        <x:v>aft</x:v>
      </x:c>
      <x:c r="D7" s="12" t="str">
        <x:v>fatigue_reinforced_legacy</x:v>
      </x:c>
      <x:c r="E7" s="12" t="str">
        <x:v>stiffness_based</x:v>
      </x:c>
      <x:c r="F7" s="12" t="n">
        <x:v>0</x:v>
      </x:c>
      <x:c r="G7" s="12" t="n">
        <x:v>0.5</x:v>
      </x:c>
      <x:c r="H7" s="12" t="n">
        <x:v>0.5</x:v>
      </x:c>
      <x:c r="I7" s="12" t="n">
        <x:v>2</x:v>
      </x:c>
      <x:c r="J7" s="12" t="n">
        <x:v>0.05</x:v>
      </x:c>
      <x:c r="K7" s="12" t="n">
        <x:v>48300000</x:v>
      </x:c>
      <x:c r="L7" s="12" t="n">
        <x:v>160953068.6466621</x:v>
      </x:c>
      <x:c r="M7" s="12" t="n">
        <x:v>242944.6937188257</x:v>
      </x:c>
      <x:c r="N7" s="12" t="n">
        <x:v>8.905538148438389</x:v>
      </x:c>
      <x:c r="O7" s="12" t="n">
        <x:v>62</x:v>
      </x:c>
      <x:c r="P7" s="12" t="n">
        <x:v>10</x:v>
      </x:c>
      <x:c r="Q7" s="12" t="str">
        <x:v>Conservative design envelope: C=62 MPa from MAT-002 static shear strength and b=10</x:v>
      </x:c>
      <x:c r="R7" s="12" t="n">
        <x:v>0.09364307203989372</x:v>
      </x:c>
      <x:c r="S7" s="12" t="str">
        <x:v>PASS</x:v>
      </x:c>
      <x:c r="T7" s="12" t="n">
        <x:v>0.01660354570047835</x:v>
      </x:c>
      <x:c r="U7" s="12" t="n">
        <x:v>5.365843181261552e-19</x:v>
      </x:c>
      <x:c r="V7" s="12" t="str">
        <x:v>SOURCED_CURVE_PASS</x:v>
      </x:c>
    </x:row>
    <x:row r="8" ht="66" hidden="0" customHeight="1">
      <x:c r="A8" s="12" t="str">
        <x:v>nominal_b10_split0</x:v>
      </x:c>
      <x:c r="B8" s="12" t="n">
        <x:v>4.1</x:v>
      </x:c>
      <x:c r="C8" s="12" t="str">
        <x:v>forward</x:v>
      </x:c>
      <x:c r="D8" s="12" t="str">
        <x:v>day4_baseline</x:v>
      </x:c>
      <x:c r="E8" s="12" t="str">
        <x:v>stiffness_based</x:v>
      </x:c>
      <x:c r="F8" s="12" t="n">
        <x:v>0</x:v>
      </x:c>
      <x:c r="G8" s="12" t="n">
        <x:v>0.5</x:v>
      </x:c>
      <x:c r="H8" s="12" t="n">
        <x:v>0.5</x:v>
      </x:c>
      <x:c r="I8" s="12" t="n">
        <x:v>2</x:v>
      </x:c>
      <x:c r="J8" s="12" t="n">
        <x:v>0.05</x:v>
      </x:c>
      <x:c r="K8" s="12" t="n">
        <x:v>48300000</x:v>
      </x:c>
      <x:c r="L8" s="12" t="n">
        <x:v>183876103.00647563</x:v>
      </x:c>
      <x:c r="M8" s="12" t="n">
        <x:v>240723.97294784058</x:v>
      </x:c>
      <x:c r="N8" s="12" t="n">
        <x:v>7.724067549670884</x:v>
      </x:c>
      <x:c r="O8" s="12" t="n">
        <x:v>62</x:v>
      </x:c>
      <x:c r="P8" s="12" t="n">
        <x:v>10</x:v>
      </x:c>
      <x:c r="Q8" s="12" t="str">
        <x:v>Conservative design envelope: C=62 MPa from MAT-002 static shear strength and b=10</x:v>
      </x:c>
      <x:c r="R8" s="12" t="n">
        <x:v>0.022559766529970743</x:v>
      </x:c>
      <x:c r="S8" s="12" t="str">
        <x:v>PASS</x:v>
      </x:c>
      <x:c r="T8" s="12" t="n">
        <x:v>0.014400803906166054</x:v>
      </x:c>
      <x:c r="U8" s="12" t="n">
        <x:v>9.614430967629489e-20</x:v>
      </x:c>
      <x:c r="V8" s="12" t="str">
        <x:v>SOURCED_CURVE_PASS</x:v>
      </x:c>
    </x:row>
    <x:row r="9" ht="66" hidden="0" customHeight="1">
      <x:c r="A9" s="12" t="str">
        <x:v>nominal_b10_split0</x:v>
      </x:c>
      <x:c r="B9" s="12" t="n">
        <x:v>4.1</x:v>
      </x:c>
      <x:c r="C9" s="12" t="str">
        <x:v>aft</x:v>
      </x:c>
      <x:c r="D9" s="12" t="str">
        <x:v>day4_baseline</x:v>
      </x:c>
      <x:c r="E9" s="12" t="str">
        <x:v>stiffness_based</x:v>
      </x:c>
      <x:c r="F9" s="12" t="n">
        <x:v>0</x:v>
      </x:c>
      <x:c r="G9" s="12" t="n">
        <x:v>0.5</x:v>
      </x:c>
      <x:c r="H9" s="12" t="n">
        <x:v>0.5</x:v>
      </x:c>
      <x:c r="I9" s="12" t="n">
        <x:v>2</x:v>
      </x:c>
      <x:c r="J9" s="12" t="n">
        <x:v>0.05</x:v>
      </x:c>
      <x:c r="K9" s="12" t="n">
        <x:v>48300000</x:v>
      </x:c>
      <x:c r="L9" s="12" t="n">
        <x:v>183876103.00647563</x:v>
      </x:c>
      <x:c r="M9" s="12" t="n">
        <x:v>240723.97294784058</x:v>
      </x:c>
      <x:c r="N9" s="12" t="n">
        <x:v>7.724067549670884</x:v>
      </x:c>
      <x:c r="O9" s="12" t="n">
        <x:v>62</x:v>
      </x:c>
      <x:c r="P9" s="12" t="n">
        <x:v>10</x:v>
      </x:c>
      <x:c r="Q9" s="12" t="str">
        <x:v>Conservative design envelope: C=62 MPa from MAT-002 static shear strength and b=10</x:v>
      </x:c>
      <x:c r="R9" s="12" t="n">
        <x:v>0.022559766529970743</x:v>
      </x:c>
      <x:c r="S9" s="12" t="str">
        <x:v>PASS</x:v>
      </x:c>
      <x:c r="T9" s="12" t="n">
        <x:v>0.014400803906166054</x:v>
      </x:c>
      <x:c r="U9" s="12" t="n">
        <x:v>9.614430967629489e-20</x:v>
      </x:c>
      <x:c r="V9" s="12" t="str">
        <x:v>SOURCED_CURVE_PASS</x:v>
      </x:c>
    </x:row>
    <x:row r="10" ht="66" hidden="0" customHeight="1">
      <x:c r="A10" s="12" t="str">
        <x:v>nominal_b10_equal50</x:v>
      </x:c>
      <x:c r="B10" s="12" t="n">
        <x:v>4.1</x:v>
      </x:c>
      <x:c r="C10" s="12" t="str">
        <x:v>forward</x:v>
      </x:c>
      <x:c r="D10" s="12" t="str">
        <x:v>day4_baseline</x:v>
      </x:c>
      <x:c r="E10" s="12" t="str">
        <x:v>equal_50_50</x:v>
      </x:c>
      <x:c r="F10" s="12" t="n">
        <x:v>0</x:v>
      </x:c>
      <x:c r="G10" s="12" t="n">
        <x:v>0.5</x:v>
      </x:c>
      <x:c r="H10" s="12" t="n">
        <x:v>0.5</x:v>
      </x:c>
      <x:c r="I10" s="12" t="n">
        <x:v>2</x:v>
      </x:c>
      <x:c r="J10" s="12" t="n">
        <x:v>0.05</x:v>
      </x:c>
      <x:c r="K10" s="12" t="n">
        <x:v>48300000</x:v>
      </x:c>
      <x:c r="L10" s="12" t="n">
        <x:v>183876103.00647563</x:v>
      </x:c>
      <x:c r="M10" s="12" t="n">
        <x:v>240723.97294784058</x:v>
      </x:c>
      <x:c r="N10" s="12" t="n">
        <x:v>7.724067549670884</x:v>
      </x:c>
      <x:c r="O10" s="12" t="n">
        <x:v>62</x:v>
      </x:c>
      <x:c r="P10" s="12" t="n">
        <x:v>10</x:v>
      </x:c>
      <x:c r="Q10" s="12" t="str">
        <x:v>Conservative design envelope: C=62 MPa from MAT-002 static shear strength and b=10</x:v>
      </x:c>
      <x:c r="R10" s="12" t="n">
        <x:v>0.022559766529970743</x:v>
      </x:c>
      <x:c r="S10" s="12" t="str">
        <x:v>PASS</x:v>
      </x:c>
      <x:c r="T10" s="12" t="n">
        <x:v>0.014400803906166054</x:v>
      </x:c>
      <x:c r="U10" s="12" t="n">
        <x:v>9.614430967629489e-20</x:v>
      </x:c>
      <x:c r="V10" s="12" t="str">
        <x:v>SOURCED_CURVE_PASS</x:v>
      </x:c>
    </x:row>
    <x:row r="11" ht="66" hidden="0" customHeight="1">
      <x:c r="A11" s="12" t="str">
        <x:v>nominal_b10_equal50</x:v>
      </x:c>
      <x:c r="B11" s="12" t="n">
        <x:v>4.1</x:v>
      </x:c>
      <x:c r="C11" s="12" t="str">
        <x:v>aft</x:v>
      </x:c>
      <x:c r="D11" s="12" t="str">
        <x:v>day4_baseline</x:v>
      </x:c>
      <x:c r="E11" s="12" t="str">
        <x:v>equal_50_50</x:v>
      </x:c>
      <x:c r="F11" s="12" t="n">
        <x:v>0</x:v>
      </x:c>
      <x:c r="G11" s="12" t="n">
        <x:v>0.5</x:v>
      </x:c>
      <x:c r="H11" s="12" t="n">
        <x:v>0.5</x:v>
      </x:c>
      <x:c r="I11" s="12" t="n">
        <x:v>2</x:v>
      </x:c>
      <x:c r="J11" s="12" t="n">
        <x:v>0.05</x:v>
      </x:c>
      <x:c r="K11" s="12" t="n">
        <x:v>48300000</x:v>
      </x:c>
      <x:c r="L11" s="12" t="n">
        <x:v>183876103.00647563</x:v>
      </x:c>
      <x:c r="M11" s="12" t="n">
        <x:v>240723.97294784058</x:v>
      </x:c>
      <x:c r="N11" s="12" t="n">
        <x:v>7.724067549670884</x:v>
      </x:c>
      <x:c r="O11" s="12" t="n">
        <x:v>62</x:v>
      </x:c>
      <x:c r="P11" s="12" t="n">
        <x:v>10</x:v>
      </x:c>
      <x:c r="Q11" s="12" t="str">
        <x:v>Conservative design envelope: C=62 MPa from MAT-002 static shear strength and b=10</x:v>
      </x:c>
      <x:c r="R11" s="12" t="n">
        <x:v>0.022559766529970743</x:v>
      </x:c>
      <x:c r="S11" s="12" t="str">
        <x:v>PASS</x:v>
      </x:c>
      <x:c r="T11" s="12" t="n">
        <x:v>0.014400803906166054</x:v>
      </x:c>
      <x:c r="U11" s="12" t="n">
        <x:v>9.614430967629489e-20</x:v>
      </x:c>
      <x:c r="V11" s="12" t="str">
        <x:v>SOURCED_CURVE_PASS</x:v>
      </x:c>
    </x:row>
    <x:row r="12" ht="66" hidden="0" customHeight="1">
      <x:c r="A12" s="12" t="str">
        <x:v>nominal_b10_split0</x:v>
      </x:c>
      <x:c r="B12" s="12" t="n">
        <x:v>4.1</x:v>
      </x:c>
      <x:c r="C12" s="12" t="str">
        <x:v>forward</x:v>
      </x:c>
      <x:c r="D12" s="12" t="str">
        <x:v>fatigue_reinforced_legacy</x:v>
      </x:c>
      <x:c r="E12" s="12" t="str">
        <x:v>stiffness_based</x:v>
      </x:c>
      <x:c r="F12" s="12" t="n">
        <x:v>0</x:v>
      </x:c>
      <x:c r="G12" s="12" t="n">
        <x:v>0.5</x:v>
      </x:c>
      <x:c r="H12" s="12" t="n">
        <x:v>0.5</x:v>
      </x:c>
      <x:c r="I12" s="12" t="n">
        <x:v>2</x:v>
      </x:c>
      <x:c r="J12" s="12" t="n">
        <x:v>0.05</x:v>
      </x:c>
      <x:c r="K12" s="12" t="n">
        <x:v>48300000</x:v>
      </x:c>
      <x:c r="L12" s="12" t="n">
        <x:v>183876103.00647563</x:v>
      </x:c>
      <x:c r="M12" s="12" t="n">
        <x:v>240723.97294784058</x:v>
      </x:c>
      <x:c r="N12" s="12" t="n">
        <x:v>7.724067549670884</x:v>
      </x:c>
      <x:c r="O12" s="12" t="n">
        <x:v>62</x:v>
      </x:c>
      <x:c r="P12" s="12" t="n">
        <x:v>10</x:v>
      </x:c>
      <x:c r="Q12" s="12" t="str">
        <x:v>Conservative design envelope: C=62 MPa from MAT-002 static shear strength and b=10</x:v>
      </x:c>
      <x:c r="R12" s="12" t="n">
        <x:v>0.022559766529970743</x:v>
      </x:c>
      <x:c r="S12" s="12" t="str">
        <x:v>PASS</x:v>
      </x:c>
      <x:c r="T12" s="12" t="n">
        <x:v>0.014400803906166054</x:v>
      </x:c>
      <x:c r="U12" s="12" t="n">
        <x:v>9.614430967629489e-20</x:v>
      </x:c>
      <x:c r="V12" s="12" t="str">
        <x:v>SOURCED_CURVE_PASS</x:v>
      </x:c>
    </x:row>
    <x:row r="13" ht="66" hidden="0" customHeight="1">
      <x:c r="A13" s="12" t="str">
        <x:v>nominal_b10_split0</x:v>
      </x:c>
      <x:c r="B13" s="12" t="n">
        <x:v>4.1</x:v>
      </x:c>
      <x:c r="C13" s="12" t="str">
        <x:v>aft</x:v>
      </x:c>
      <x:c r="D13" s="12" t="str">
        <x:v>fatigue_reinforced_legacy</x:v>
      </x:c>
      <x:c r="E13" s="12" t="str">
        <x:v>stiffness_based</x:v>
      </x:c>
      <x:c r="F13" s="12" t="n">
        <x:v>0</x:v>
      </x:c>
      <x:c r="G13" s="12" t="n">
        <x:v>0.5</x:v>
      </x:c>
      <x:c r="H13" s="12" t="n">
        <x:v>0.5</x:v>
      </x:c>
      <x:c r="I13" s="12" t="n">
        <x:v>2</x:v>
      </x:c>
      <x:c r="J13" s="12" t="n">
        <x:v>0.05</x:v>
      </x:c>
      <x:c r="K13" s="12" t="n">
        <x:v>48300000</x:v>
      </x:c>
      <x:c r="L13" s="12" t="n">
        <x:v>183876103.00647563</x:v>
      </x:c>
      <x:c r="M13" s="12" t="n">
        <x:v>240723.97294784058</x:v>
      </x:c>
      <x:c r="N13" s="12" t="n">
        <x:v>7.724067549670884</x:v>
      </x:c>
      <x:c r="O13" s="12" t="n">
        <x:v>62</x:v>
      </x:c>
      <x:c r="P13" s="12" t="n">
        <x:v>10</x:v>
      </x:c>
      <x:c r="Q13" s="12" t="str">
        <x:v>Conservative design envelope: C=62 MPa from MAT-002 static shear strength and b=10</x:v>
      </x:c>
      <x:c r="R13" s="12" t="n">
        <x:v>0.022559766529970743</x:v>
      </x:c>
      <x:c r="S13" s="12" t="str">
        <x:v>PASS</x:v>
      </x:c>
      <x:c r="T13" s="12" t="n">
        <x:v>0.014400803906166054</x:v>
      </x:c>
      <x:c r="U13" s="12" t="n">
        <x:v>9.614430967629489e-20</x:v>
      </x:c>
      <x:c r="V13" s="12" t="str">
        <x:v>SOURCED_CURVE_PASS</x:v>
      </x:c>
    </x:row>
    <x:row r="14" ht="66" hidden="0" customHeight="1">
      <x:c r="A14" s="12" t="str">
        <x:v>nominal_b10_split0</x:v>
      </x:c>
      <x:c r="B14" s="12" t="n">
        <x:v>6.8333</x:v>
      </x:c>
      <x:c r="C14" s="12" t="str">
        <x:v>forward</x:v>
      </x:c>
      <x:c r="D14" s="12" t="str">
        <x:v>day4_baseline</x:v>
      </x:c>
      <x:c r="E14" s="12" t="str">
        <x:v>stiffness_based</x:v>
      </x:c>
      <x:c r="F14" s="12" t="n">
        <x:v>0</x:v>
      </x:c>
      <x:c r="G14" s="12" t="n">
        <x:v>0.4925704127566943</x:v>
      </x:c>
      <x:c r="H14" s="12" t="n">
        <x:v>0.4925704127566943</x:v>
      </x:c>
      <x:c r="I14" s="12" t="n">
        <x:v>2</x:v>
      </x:c>
      <x:c r="J14" s="12" t="n">
        <x:v>0.05</x:v>
      </x:c>
      <x:c r="K14" s="12" t="n">
        <x:v>48300000</x:v>
      </x:c>
      <x:c r="L14" s="12" t="n">
        <x:v>195180348.39268377</x:v>
      </x:c>
      <x:c r="M14" s="12" t="n">
        <x:v>237363.21960841876</x:v>
      </x:c>
      <x:c r="N14" s="12" t="n">
        <x:v>7.068506538795991</x:v>
      </x:c>
      <x:c r="O14" s="12" t="n">
        <x:v>62</x:v>
      </x:c>
      <x:c r="P14" s="12" t="n">
        <x:v>10</x:v>
      </x:c>
      <x:c r="Q14" s="12" t="str">
        <x:v>Conservative design envelope: C=62 MPa from MAT-002 static shear strength and b=10</x:v>
      </x:c>
      <x:c r="R14" s="12" t="n">
        <x:v>0.00929288600783511</x:v>
      </x:c>
      <x:c r="S14" s="12" t="str">
        <x:v>PASS</x:v>
      </x:c>
      <x:c r="T14" s="12" t="n">
        <x:v>0.013178571513009475</x:v>
      </x:c>
      <x:c r="U14" s="12" t="n">
        <x:v>3.293224399307744e-20</x:v>
      </x:c>
      <x:c r="V14" s="12" t="str">
        <x:v>SOURCED_CURVE_PASS</x:v>
      </x:c>
    </x:row>
    <x:row r="15" ht="66" hidden="0" customHeight="1">
      <x:c r="A15" s="12" t="str">
        <x:v>nominal_b10_split0</x:v>
      </x:c>
      <x:c r="B15" s="12" t="n">
        <x:v>6.8333</x:v>
      </x:c>
      <x:c r="C15" s="12" t="str">
        <x:v>aft</x:v>
      </x:c>
      <x:c r="D15" s="12" t="str">
        <x:v>day4_baseline</x:v>
      </x:c>
      <x:c r="E15" s="12" t="str">
        <x:v>stiffness_based</x:v>
      </x:c>
      <x:c r="F15" s="12" t="n">
        <x:v>0</x:v>
      </x:c>
      <x:c r="G15" s="12" t="n">
        <x:v>0.5074295872433057</x:v>
      </x:c>
      <x:c r="H15" s="12" t="n">
        <x:v>0.5074295872433057</x:v>
      </x:c>
      <x:c r="I15" s="12" t="n">
        <x:v>2</x:v>
      </x:c>
      <x:c r="J15" s="12" t="n">
        <x:v>0.05</x:v>
      </x:c>
      <x:c r="K15" s="12" t="n">
        <x:v>48300000</x:v>
      </x:c>
      <x:c r="L15" s="12" t="n">
        <x:v>201068275.8402405</x:v>
      </x:c>
      <x:c r="M15" s="12" t="n">
        <x:v>237363.21960841876</x:v>
      </x:c>
      <x:c r="N15" s="12" t="n">
        <x:v>7.068506538795991</x:v>
      </x:c>
      <x:c r="O15" s="12" t="n">
        <x:v>62</x:v>
      </x:c>
      <x:c r="P15" s="12" t="n">
        <x:v>10</x:v>
      </x:c>
      <x:c r="Q15" s="12" t="str">
        <x:v>Conservative design envelope: C=62 MPa from MAT-002 static shear strength and b=10</x:v>
      </x:c>
      <x:c r="R15" s="12" t="n">
        <x:v>0.00929288600783511</x:v>
      </x:c>
      <x:c r="S15" s="12" t="str">
        <x:v>PASS</x:v>
      </x:c>
      <x:c r="T15" s="12" t="n">
        <x:v>0.013178571513009475</x:v>
      </x:c>
      <x:c r="U15" s="12" t="n">
        <x:v>3.293224399307744e-20</x:v>
      </x:c>
      <x:c r="V15" s="12" t="str">
        <x:v>SOURCED_CURVE_PASS</x:v>
      </x:c>
    </x:row>
    <x:row r="16" ht="66" hidden="0" customHeight="1">
      <x:c r="A16" s="12" t="str">
        <x:v>nominal_b10_equal50</x:v>
      </x:c>
      <x:c r="B16" s="12" t="n">
        <x:v>6.8333</x:v>
      </x:c>
      <x:c r="C16" s="12" t="str">
        <x:v>forward</x:v>
      </x:c>
      <x:c r="D16" s="12" t="str">
        <x:v>day4_baseline</x:v>
      </x:c>
      <x:c r="E16" s="12" t="str">
        <x:v>equal_50_50</x:v>
      </x:c>
      <x:c r="F16" s="12" t="n">
        <x:v>0</x:v>
      </x:c>
      <x:c r="G16" s="12" t="n">
        <x:v>0.5</x:v>
      </x:c>
      <x:c r="H16" s="12" t="n">
        <x:v>0.5</x:v>
      </x:c>
      <x:c r="I16" s="12" t="n">
        <x:v>2</x:v>
      </x:c>
      <x:c r="J16" s="12" t="n">
        <x:v>0.05</x:v>
      </x:c>
      <x:c r="K16" s="12" t="n">
        <x:v>48300000</x:v>
      </x:c>
      <x:c r="L16" s="12" t="n">
        <x:v>195180348.39268377</x:v>
      </x:c>
      <x:c r="M16" s="12" t="n">
        <x:v>237363.21960841876</x:v>
      </x:c>
      <x:c r="N16" s="12" t="n">
        <x:v>7.175122942562416</x:v>
      </x:c>
      <x:c r="O16" s="12" t="n">
        <x:v>62</x:v>
      </x:c>
      <x:c r="P16" s="12" t="n">
        <x:v>10</x:v>
      </x:c>
      <x:c r="Q16" s="12" t="str">
        <x:v>Conservative design envelope: C=62 MPa from MAT-002 static shear strength and b=10</x:v>
      </x:c>
      <x:c r="R16" s="12" t="n">
        <x:v>0.010793627802291386</x:v>
      </x:c>
      <x:c r="S16" s="12" t="str">
        <x:v>PASS</x:v>
      </x:c>
      <x:c r="T16" s="12" t="n">
        <x:v>0.013377347859014671</x:v>
      </x:c>
      <x:c r="U16" s="12" t="n">
        <x:v>3.946041542236309e-20</x:v>
      </x:c>
      <x:c r="V16" s="12" t="str">
        <x:v>SOURCED_CURVE_PASS</x:v>
      </x:c>
    </x:row>
    <x:row r="17" ht="66" hidden="0" customHeight="1">
      <x:c r="A17" s="12" t="str">
        <x:v>nominal_b10_equal50</x:v>
      </x:c>
      <x:c r="B17" s="12" t="n">
        <x:v>6.8333</x:v>
      </x:c>
      <x:c r="C17" s="12" t="str">
        <x:v>aft</x:v>
      </x:c>
      <x:c r="D17" s="12" t="str">
        <x:v>day4_baseline</x:v>
      </x:c>
      <x:c r="E17" s="12" t="str">
        <x:v>equal_50_50</x:v>
      </x:c>
      <x:c r="F17" s="12" t="n">
        <x:v>0</x:v>
      </x:c>
      <x:c r="G17" s="12" t="n">
        <x:v>0.5</x:v>
      </x:c>
      <x:c r="H17" s="12" t="n">
        <x:v>0.5</x:v>
      </x:c>
      <x:c r="I17" s="12" t="n">
        <x:v>2</x:v>
      </x:c>
      <x:c r="J17" s="12" t="n">
        <x:v>0.05</x:v>
      </x:c>
      <x:c r="K17" s="12" t="n">
        <x:v>48300000</x:v>
      </x:c>
      <x:c r="L17" s="12" t="n">
        <x:v>201068275.8402405</x:v>
      </x:c>
      <x:c r="M17" s="12" t="n">
        <x:v>237363.21960841876</x:v>
      </x:c>
      <x:c r="N17" s="12" t="n">
        <x:v>6.965012207109178</x:v>
      </x:c>
      <x:c r="O17" s="12" t="n">
        <x:v>62</x:v>
      </x:c>
      <x:c r="P17" s="12" t="n">
        <x:v>10</x:v>
      </x:c>
      <x:c r="Q17" s="12" t="str">
        <x:v>Conservative design envelope: C=62 MPa from MAT-002 static shear strength and b=10</x:v>
      </x:c>
      <x:c r="R17" s="12" t="n">
        <x:v>0.008018493624344248</x:v>
      </x:c>
      <x:c r="S17" s="12" t="str">
        <x:v>PASS</x:v>
      </x:c>
      <x:c r="T17" s="12" t="n">
        <x:v>0.012985615979356093</x:v>
      </x:c>
      <x:c r="U17" s="12" t="n">
        <x:v>2.7557478412347614e-20</x:v>
      </x:c>
      <x:c r="V17" s="12" t="str">
        <x:v>SOURCED_CURVE_PASS</x:v>
      </x:c>
    </x:row>
    <x:row r="18" ht="66" hidden="0" customHeight="1">
      <x:c r="A18" s="12" t="str">
        <x:v>nominal_b10_split0</x:v>
      </x:c>
      <x:c r="B18" s="12" t="n">
        <x:v>6.8333</x:v>
      </x:c>
      <x:c r="C18" s="12" t="str">
        <x:v>forward</x:v>
      </x:c>
      <x:c r="D18" s="12" t="str">
        <x:v>fatigue_reinforced_legacy</x:v>
      </x:c>
      <x:c r="E18" s="12" t="str">
        <x:v>stiffness_based</x:v>
      </x:c>
      <x:c r="F18" s="12" t="n">
        <x:v>0</x:v>
      </x:c>
      <x:c r="G18" s="12" t="n">
        <x:v>0.4925704127566943</x:v>
      </x:c>
      <x:c r="H18" s="12" t="n">
        <x:v>0.4925704127566943</x:v>
      </x:c>
      <x:c r="I18" s="12" t="n">
        <x:v>2</x:v>
      </x:c>
      <x:c r="J18" s="12" t="n">
        <x:v>0.05</x:v>
      </x:c>
      <x:c r="K18" s="12" t="n">
        <x:v>48300000</x:v>
      </x:c>
      <x:c r="L18" s="12" t="n">
        <x:v>195180348.39268377</x:v>
      </x:c>
      <x:c r="M18" s="12" t="n">
        <x:v>237363.21960841876</x:v>
      </x:c>
      <x:c r="N18" s="12" t="n">
        <x:v>7.068506538795991</x:v>
      </x:c>
      <x:c r="O18" s="12" t="n">
        <x:v>62</x:v>
      </x:c>
      <x:c r="P18" s="12" t="n">
        <x:v>10</x:v>
      </x:c>
      <x:c r="Q18" s="12" t="str">
        <x:v>Conservative design envelope: C=62 MPa from MAT-002 static shear strength and b=10</x:v>
      </x:c>
      <x:c r="R18" s="12" t="n">
        <x:v>0.00929288600783511</x:v>
      </x:c>
      <x:c r="S18" s="12" t="str">
        <x:v>PASS</x:v>
      </x:c>
      <x:c r="T18" s="12" t="n">
        <x:v>0.013178571513009475</x:v>
      </x:c>
      <x:c r="U18" s="12" t="n">
        <x:v>3.293224399307744e-20</x:v>
      </x:c>
      <x:c r="V18" s="12" t="str">
        <x:v>SOURCED_CURVE_PASS</x:v>
      </x:c>
    </x:row>
    <x:row r="19" ht="66" hidden="0" customHeight="1">
      <x:c r="A19" s="12" t="str">
        <x:v>nominal_b10_split0</x:v>
      </x:c>
      <x:c r="B19" s="12" t="n">
        <x:v>6.8333</x:v>
      </x:c>
      <x:c r="C19" s="12" t="str">
        <x:v>aft</x:v>
      </x:c>
      <x:c r="D19" s="12" t="str">
        <x:v>fatigue_reinforced_legacy</x:v>
      </x:c>
      <x:c r="E19" s="12" t="str">
        <x:v>stiffness_based</x:v>
      </x:c>
      <x:c r="F19" s="12" t="n">
        <x:v>0</x:v>
      </x:c>
      <x:c r="G19" s="12" t="n">
        <x:v>0.5074295872433057</x:v>
      </x:c>
      <x:c r="H19" s="12" t="n">
        <x:v>0.5074295872433057</x:v>
      </x:c>
      <x:c r="I19" s="12" t="n">
        <x:v>2</x:v>
      </x:c>
      <x:c r="J19" s="12" t="n">
        <x:v>0.05</x:v>
      </x:c>
      <x:c r="K19" s="12" t="n">
        <x:v>48300000</x:v>
      </x:c>
      <x:c r="L19" s="12" t="n">
        <x:v>201068275.8402405</x:v>
      </x:c>
      <x:c r="M19" s="12" t="n">
        <x:v>237363.21960841876</x:v>
      </x:c>
      <x:c r="N19" s="12" t="n">
        <x:v>7.068506538795991</x:v>
      </x:c>
      <x:c r="O19" s="12" t="n">
        <x:v>62</x:v>
      </x:c>
      <x:c r="P19" s="12" t="n">
        <x:v>10</x:v>
      </x:c>
      <x:c r="Q19" s="12" t="str">
        <x:v>Conservative design envelope: C=62 MPa from MAT-002 static shear strength and b=10</x:v>
      </x:c>
      <x:c r="R19" s="12" t="n">
        <x:v>0.00929288600783511</x:v>
      </x:c>
      <x:c r="S19" s="12" t="str">
        <x:v>PASS</x:v>
      </x:c>
      <x:c r="T19" s="12" t="n">
        <x:v>0.013178571513009475</x:v>
      </x:c>
      <x:c r="U19" s="12" t="n">
        <x:v>3.293224399307744e-20</x:v>
      </x:c>
      <x:c r="V19" s="12" t="str">
        <x:v>SOURCED_CURVE_PASS</x:v>
      </x:c>
    </x:row>
    <x:row r="20" ht="66" hidden="0" customHeight="1">
      <x:c r="A20" s="12" t="str">
        <x:v>nominal_b10_split0</x:v>
      </x:c>
      <x:c r="B20" s="12" t="n">
        <x:v>10.25</x:v>
      </x:c>
      <x:c r="C20" s="12" t="str">
        <x:v>forward</x:v>
      </x:c>
      <x:c r="D20" s="12" t="str">
        <x:v>day4_baseline</x:v>
      </x:c>
      <x:c r="E20" s="12" t="str">
        <x:v>stiffness_based</x:v>
      </x:c>
      <x:c r="F20" s="12" t="n">
        <x:v>0</x:v>
      </x:c>
      <x:c r="G20" s="12" t="n">
        <x:v>0.5364653067005404</x:v>
      </x:c>
      <x:c r="H20" s="12" t="n">
        <x:v>0.5364653067005404</x:v>
      </x:c>
      <x:c r="I20" s="12" t="n">
        <x:v>3</x:v>
      </x:c>
      <x:c r="J20" s="12" t="n">
        <x:v>0.05</x:v>
      </x:c>
      <x:c r="K20" s="12" t="n">
        <x:v>71900000</x:v>
      </x:c>
      <x:c r="L20" s="12" t="n">
        <x:v>131065563.6741904</x:v>
      </x:c>
      <x:c r="M20" s="12" t="n">
        <x:v>231513.73513518577</x:v>
      </x:c>
      <x:c r="N20" s="12" t="n">
        <x:v>11.181802333330078</x:v>
      </x:c>
      <x:c r="O20" s="12" t="n">
        <x:v>62</x:v>
      </x:c>
      <x:c r="P20" s="12" t="n">
        <x:v>10</x:v>
      </x:c>
      <x:c r="Q20" s="12" t="str">
        <x:v>Conservative design envelope: C=62 MPa from MAT-002 static shear strength and b=10</x:v>
      </x:c>
      <x:c r="R20" s="12" t="n">
        <x:v>0.911994200061488</x:v>
      </x:c>
      <x:c r="S20" s="12" t="str">
        <x:v>FAIL</x:v>
      </x:c>
      <x:c r="T20" s="12" t="n">
        <x:v>0.020847428079089975</x:v>
      </x:c>
      <x:c r="U20" s="12" t="n">
        <x:v>8.390074476718501e-18</x:v>
      </x:c>
      <x:c r="V20" s="12" t="str">
        <x:v>SOURCED_CURVE_PASS</x:v>
      </x:c>
    </x:row>
    <x:row r="21" ht="66" hidden="0" customHeight="1">
      <x:c r="A21" s="12" t="str">
        <x:v>nominal_b10_split0</x:v>
      </x:c>
      <x:c r="B21" s="12" t="n">
        <x:v>10.25</x:v>
      </x:c>
      <x:c r="C21" s="12" t="str">
        <x:v>aft</x:v>
      </x:c>
      <x:c r="D21" s="12" t="str">
        <x:v>day4_baseline</x:v>
      </x:c>
      <x:c r="E21" s="12" t="str">
        <x:v>stiffness_based</x:v>
      </x:c>
      <x:c r="F21" s="12" t="n">
        <x:v>0</x:v>
      </x:c>
      <x:c r="G21" s="12" t="n">
        <x:v>0.46353469329945973</x:v>
      </x:c>
      <x:c r="H21" s="12" t="n">
        <x:v>0.4635346932994596</x:v>
      </x:c>
      <x:c r="I21" s="12" t="n">
        <x:v>3</x:v>
      </x:c>
      <x:c r="J21" s="12" t="n">
        <x:v>0.05</x:v>
      </x:c>
      <x:c r="K21" s="12" t="n">
        <x:v>71900000</x:v>
      </x:c>
      <x:c r="L21" s="12" t="n">
        <x:v>113247651.06152476</x:v>
      </x:c>
      <x:c r="M21" s="12" t="n">
        <x:v>231513.73513518577</x:v>
      </x:c>
      <x:c r="N21" s="12" t="n">
        <x:v>11.181802333330076</x:v>
      </x:c>
      <x:c r="O21" s="12" t="n">
        <x:v>62</x:v>
      </x:c>
      <x:c r="P21" s="12" t="n">
        <x:v>10</x:v>
      </x:c>
      <x:c r="Q21" s="12" t="str">
        <x:v>Conservative design envelope: C=62 MPa from MAT-002 static shear strength and b=10</x:v>
      </x:c>
      <x:c r="R21" s="12" t="n">
        <x:v>0.9119942000614859</x:v>
      </x:c>
      <x:c r="S21" s="12" t="str">
        <x:v>FAIL</x:v>
      </x:c>
      <x:c r="T21" s="12" t="n">
        <x:v>0.020847428079089972</x:v>
      </x:c>
      <x:c r="U21" s="12" t="n">
        <x:v>8.390074476718472e-18</x:v>
      </x:c>
      <x:c r="V21" s="12" t="str">
        <x:v>SOURCED_CURVE_PASS</x:v>
      </x:c>
    </x:row>
    <x:row r="22" ht="66" hidden="0" customHeight="1">
      <x:c r="A22" s="12" t="str">
        <x:v>nominal_b10_equal50</x:v>
      </x:c>
      <x:c r="B22" s="12" t="n">
        <x:v>10.25</x:v>
      </x:c>
      <x:c r="C22" s="12" t="str">
        <x:v>forward</x:v>
      </x:c>
      <x:c r="D22" s="12" t="str">
        <x:v>day4_baseline</x:v>
      </x:c>
      <x:c r="E22" s="12" t="str">
        <x:v>equal_50_50</x:v>
      </x:c>
      <x:c r="F22" s="12" t="n">
        <x:v>0</x:v>
      </x:c>
      <x:c r="G22" s="12" t="n">
        <x:v>0.5</x:v>
      </x:c>
      <x:c r="H22" s="12" t="n">
        <x:v>0.5</x:v>
      </x:c>
      <x:c r="I22" s="12" t="n">
        <x:v>3</x:v>
      </x:c>
      <x:c r="J22" s="12" t="n">
        <x:v>0.05</x:v>
      </x:c>
      <x:c r="K22" s="12" t="n">
        <x:v>71900000</x:v>
      </x:c>
      <x:c r="L22" s="12" t="n">
        <x:v>131065563.6741904</x:v>
      </x:c>
      <x:c r="M22" s="12" t="n">
        <x:v>231513.73513518577</x:v>
      </x:c>
      <x:c r="N22" s="12" t="n">
        <x:v>10.421738548297085</x:v>
      </x:c>
      <x:c r="O22" s="12" t="n">
        <x:v>62</x:v>
      </x:c>
      <x:c r="P22" s="12" t="n">
        <x:v>10</x:v>
      </x:c>
      <x:c r="Q22" s="12" t="str">
        <x:v>Conservative design envelope: C=62 MPa from MAT-002 static shear strength and b=10</x:v>
      </x:c>
      <x:c r="R22" s="12" t="n">
        <x:v>0.45110299094003486</x:v>
      </x:c>
      <x:c r="S22" s="12" t="str">
        <x:v>PASS</x:v>
      </x:c>
      <x:c r="T22" s="12" t="n">
        <x:v>0.019430360005299647</x:v>
      </x:c>
      <x:c r="U22" s="12" t="n">
        <x:v>3.584762941399034e-18</x:v>
      </x:c>
      <x:c r="V22" s="12" t="str">
        <x:v>SOURCED_CURVE_PASS</x:v>
      </x:c>
    </x:row>
    <x:row r="23" ht="66" hidden="0" customHeight="1">
      <x:c r="A23" s="12" t="str">
        <x:v>nominal_b10_equal50</x:v>
      </x:c>
      <x:c r="B23" s="12" t="n">
        <x:v>10.25</x:v>
      </x:c>
      <x:c r="C23" s="12" t="str">
        <x:v>aft</x:v>
      </x:c>
      <x:c r="D23" s="12" t="str">
        <x:v>day4_baseline</x:v>
      </x:c>
      <x:c r="E23" s="12" t="str">
        <x:v>equal_50_50</x:v>
      </x:c>
      <x:c r="F23" s="12" t="n">
        <x:v>0</x:v>
      </x:c>
      <x:c r="G23" s="12" t="n">
        <x:v>0.5</x:v>
      </x:c>
      <x:c r="H23" s="12" t="n">
        <x:v>0.5</x:v>
      </x:c>
      <x:c r="I23" s="12" t="n">
        <x:v>3</x:v>
      </x:c>
      <x:c r="J23" s="12" t="n">
        <x:v>0.05</x:v>
      </x:c>
      <x:c r="K23" s="12" t="n">
        <x:v>71900000</x:v>
      </x:c>
      <x:c r="L23" s="12" t="n">
        <x:v>113247651.06152476</x:v>
      </x:c>
      <x:c r="M23" s="12" t="n">
        <x:v>231513.73513518577</x:v>
      </x:c>
      <x:c r="N23" s="12" t="n">
        <x:v>12.061451381057942</x:v>
      </x:c>
      <x:c r="O23" s="12" t="n">
        <x:v>62</x:v>
      </x:c>
      <x:c r="P23" s="12" t="n">
        <x:v>10</x:v>
      </x:c>
      <x:c r="Q23" s="12" t="str">
        <x:v>Conservative design envelope: C=62 MPa from MAT-002 static shear strength and b=10</x:v>
      </x:c>
      <x:c r="R23" s="12" t="n">
        <x:v>1.9447763954149317</x:v>
      </x:c>
      <x:c r="S23" s="12" t="str">
        <x:v>FAIL</x:v>
      </x:c>
      <x:c r="T23" s="12" t="n">
        <x:v>0.022487451727396166</x:v>
      </x:c>
      <x:c r="U23" s="12" t="n">
        <x:v>2.094353344757265e-17</x:v>
      </x:c>
      <x:c r="V23" s="12" t="str">
        <x:v>SOURCED_CURVE_PASS</x:v>
      </x:c>
    </x:row>
    <x:row r="24" ht="66" hidden="0" customHeight="1">
      <x:c r="A24" s="12" t="str">
        <x:v>nominal_b10_split0</x:v>
      </x:c>
      <x:c r="B24" s="12" t="n">
        <x:v>10.25</x:v>
      </x:c>
      <x:c r="C24" s="12" t="str">
        <x:v>forward</x:v>
      </x:c>
      <x:c r="D24" s="12" t="str">
        <x:v>fatigue_reinforced_legacy</x:v>
      </x:c>
      <x:c r="E24" s="12" t="str">
        <x:v>stiffness_based</x:v>
      </x:c>
      <x:c r="F24" s="12" t="n">
        <x:v>0</x:v>
      </x:c>
      <x:c r="G24" s="12" t="n">
        <x:v>0.5364653067005404</x:v>
      </x:c>
      <x:c r="H24" s="12" t="n">
        <x:v>0.5364653067005404</x:v>
      </x:c>
      <x:c r="I24" s="12" t="n">
        <x:v>3</x:v>
      </x:c>
      <x:c r="J24" s="12" t="n">
        <x:v>0.05</x:v>
      </x:c>
      <x:c r="K24" s="12" t="n">
        <x:v>71900000</x:v>
      </x:c>
      <x:c r="L24" s="12" t="n">
        <x:v>131065563.6741904</x:v>
      </x:c>
      <x:c r="M24" s="12" t="n">
        <x:v>231513.73513518577</x:v>
      </x:c>
      <x:c r="N24" s="12" t="n">
        <x:v>11.181802333330078</x:v>
      </x:c>
      <x:c r="O24" s="12" t="n">
        <x:v>62</x:v>
      </x:c>
      <x:c r="P24" s="12" t="n">
        <x:v>10</x:v>
      </x:c>
      <x:c r="Q24" s="12" t="str">
        <x:v>Conservative design envelope: C=62 MPa from MAT-002 static shear strength and b=10</x:v>
      </x:c>
      <x:c r="R24" s="12" t="n">
        <x:v>0.911994200061488</x:v>
      </x:c>
      <x:c r="S24" s="12" t="str">
        <x:v>FAIL</x:v>
      </x:c>
      <x:c r="T24" s="12" t="n">
        <x:v>0.020847428079089975</x:v>
      </x:c>
      <x:c r="U24" s="12" t="n">
        <x:v>8.390074476718501e-18</x:v>
      </x:c>
      <x:c r="V24" s="12" t="str">
        <x:v>SOURCED_CURVE_PASS</x:v>
      </x:c>
    </x:row>
    <x:row r="25" ht="66" hidden="0" customHeight="1">
      <x:c r="A25" s="12" t="str">
        <x:v>nominal_b10_split0</x:v>
      </x:c>
      <x:c r="B25" s="12" t="n">
        <x:v>10.25</x:v>
      </x:c>
      <x:c r="C25" s="12" t="str">
        <x:v>aft</x:v>
      </x:c>
      <x:c r="D25" s="12" t="str">
        <x:v>fatigue_reinforced_legacy</x:v>
      </x:c>
      <x:c r="E25" s="12" t="str">
        <x:v>stiffness_based</x:v>
      </x:c>
      <x:c r="F25" s="12" t="n">
        <x:v>0</x:v>
      </x:c>
      <x:c r="G25" s="12" t="n">
        <x:v>0.46353469329945973</x:v>
      </x:c>
      <x:c r="H25" s="12" t="n">
        <x:v>0.4635346932994596</x:v>
      </x:c>
      <x:c r="I25" s="12" t="n">
        <x:v>3</x:v>
      </x:c>
      <x:c r="J25" s="12" t="n">
        <x:v>0.05</x:v>
      </x:c>
      <x:c r="K25" s="12" t="n">
        <x:v>71900000</x:v>
      </x:c>
      <x:c r="L25" s="12" t="n">
        <x:v>113247651.06152476</x:v>
      </x:c>
      <x:c r="M25" s="12" t="n">
        <x:v>231513.73513518577</x:v>
      </x:c>
      <x:c r="N25" s="12" t="n">
        <x:v>11.181802333330076</x:v>
      </x:c>
      <x:c r="O25" s="12" t="n">
        <x:v>62</x:v>
      </x:c>
      <x:c r="P25" s="12" t="n">
        <x:v>10</x:v>
      </x:c>
      <x:c r="Q25" s="12" t="str">
        <x:v>Conservative design envelope: C=62 MPa from MAT-002 static shear strength and b=10</x:v>
      </x:c>
      <x:c r="R25" s="12" t="n">
        <x:v>0.9119942000614859</x:v>
      </x:c>
      <x:c r="S25" s="12" t="str">
        <x:v>FAIL</x:v>
      </x:c>
      <x:c r="T25" s="12" t="n">
        <x:v>0.020847428079089972</x:v>
      </x:c>
      <x:c r="U25" s="12" t="n">
        <x:v>8.390074476718472e-18</x:v>
      </x:c>
      <x:c r="V25" s="12" t="str">
        <x:v>SOURCED_CURVE_PASS</x:v>
      </x:c>
    </x:row>
    <x:row r="26" ht="66" hidden="0" customHeight="1">
      <x:c r="A26" s="12" t="str">
        <x:v>nominal_b10_split0</x:v>
      </x:c>
      <x:c r="B26" s="12" t="n">
        <x:v>14.35</x:v>
      </x:c>
      <x:c r="C26" s="12" t="str">
        <x:v>forward</x:v>
      </x:c>
      <x:c r="D26" s="12" t="str">
        <x:v>day4_baseline</x:v>
      </x:c>
      <x:c r="E26" s="12" t="str">
        <x:v>stiffness_based</x:v>
      </x:c>
      <x:c r="F26" s="12" t="n">
        <x:v>0</x:v>
      </x:c>
      <x:c r="G26" s="12" t="n">
        <x:v>0.5410884722808296</x:v>
      </x:c>
      <x:c r="H26" s="12" t="n">
        <x:v>0.5410884722808296</x:v>
      </x:c>
      <x:c r="I26" s="12" t="n">
        <x:v>3</x:v>
      </x:c>
      <x:c r="J26" s="12" t="n">
        <x:v>0.05</x:v>
      </x:c>
      <x:c r="K26" s="12" t="n">
        <x:v>71900000</x:v>
      </x:c>
      <x:c r="L26" s="12" t="n">
        <x:v>115338353.9202279</x:v>
      </x:c>
      <x:c r="M26" s="12" t="n">
        <x:v>224343.45020325202</x:v>
      </x:c>
      <x:c r="N26" s="12" t="n">
        <x:v>12.419094578752315</x:v>
      </x:c>
      <x:c r="O26" s="12" t="n">
        <x:v>62</x:v>
      </x:c>
      <x:c r="P26" s="12" t="n">
        <x:v>10</x:v>
      </x:c>
      <x:c r="Q26" s="12" t="str">
        <x:v>Conservative design envelope: C=62 MPa from MAT-002 static shear strength and b=10</x:v>
      </x:c>
      <x:c r="R26" s="12" t="n">
        <x:v>2.60479358762409</x:v>
      </x:c>
      <x:c r="S26" s="12" t="str">
        <x:v>FAIL</x:v>
      </x:c>
      <x:c r="T26" s="12" t="n">
        <x:v>0.023154244129877197</x:v>
      </x:c>
      <x:c r="U26" s="12" t="n">
        <x:v>2.9809147164704105e-17</x:v>
      </x:c>
      <x:c r="V26" s="12" t="str">
        <x:v>SOURCED_CURVE_PASS</x:v>
      </x:c>
    </x:row>
    <x:row r="27" ht="66" hidden="0" customHeight="1">
      <x:c r="A27" s="12" t="str">
        <x:v>nominal_b10_split0</x:v>
      </x:c>
      <x:c r="B27" s="12" t="n">
        <x:v>14.35</x:v>
      </x:c>
      <x:c r="C27" s="12" t="str">
        <x:v>aft</x:v>
      </x:c>
      <x:c r="D27" s="12" t="str">
        <x:v>day4_baseline</x:v>
      </x:c>
      <x:c r="E27" s="12" t="str">
        <x:v>stiffness_based</x:v>
      </x:c>
      <x:c r="F27" s="12" t="n">
        <x:v>0</x:v>
      </x:c>
      <x:c r="G27" s="12" t="n">
        <x:v>0.4589115277191704</x:v>
      </x:c>
      <x:c r="H27" s="12" t="n">
        <x:v>0.45891152771917043</x:v>
      </x:c>
      <x:c r="I27" s="12" t="n">
        <x:v>3</x:v>
      </x:c>
      <x:c r="J27" s="12" t="n">
        <x:v>0.05</x:v>
      </x:c>
      <x:c r="K27" s="12" t="n">
        <x:v>71900000</x:v>
      </x:c>
      <x:c r="L27" s="12" t="n">
        <x:v>97821526.2635922</x:v>
      </x:c>
      <x:c r="M27" s="12" t="n">
        <x:v>224343.45020325202</x:v>
      </x:c>
      <x:c r="N27" s="12" t="n">
        <x:v>12.41909457875232</x:v>
      </x:c>
      <x:c r="O27" s="12" t="n">
        <x:v>62</x:v>
      </x:c>
      <x:c r="P27" s="12" t="n">
        <x:v>10</x:v>
      </x:c>
      <x:c r="Q27" s="12" t="str">
        <x:v>Conservative design envelope: C=62 MPa from MAT-002 static shear strength and b=10</x:v>
      </x:c>
      <x:c r="R27" s="12" t="n">
        <x:v>2.604793587624101</x:v>
      </x:c>
      <x:c r="S27" s="12" t="str">
        <x:v>FAIL</x:v>
      </x:c>
      <x:c r="T27" s="12" t="n">
        <x:v>0.023154244129877207</x:v>
      </x:c>
      <x:c r="U27" s="12" t="n">
        <x:v>2.9809147164704284e-17</x:v>
      </x:c>
      <x:c r="V27" s="12" t="str">
        <x:v>SOURCED_CURVE_PASS</x:v>
      </x:c>
    </x:row>
    <x:row r="28" ht="66" hidden="0" customHeight="1">
      <x:c r="A28" s="12" t="str">
        <x:v>nominal_b10_equal50</x:v>
      </x:c>
      <x:c r="B28" s="12" t="n">
        <x:v>14.35</x:v>
      </x:c>
      <x:c r="C28" s="12" t="str">
        <x:v>forward</x:v>
      </x:c>
      <x:c r="D28" s="12" t="str">
        <x:v>day4_baseline</x:v>
      </x:c>
      <x:c r="E28" s="12" t="str">
        <x:v>equal_50_50</x:v>
      </x:c>
      <x:c r="F28" s="12" t="n">
        <x:v>0</x:v>
      </x:c>
      <x:c r="G28" s="12" t="n">
        <x:v>0.5</x:v>
      </x:c>
      <x:c r="H28" s="12" t="n">
        <x:v>0.5</x:v>
      </x:c>
      <x:c r="I28" s="12" t="n">
        <x:v>3</x:v>
      </x:c>
      <x:c r="J28" s="12" t="n">
        <x:v>0.05</x:v>
      </x:c>
      <x:c r="K28" s="12" t="n">
        <x:v>71900000</x:v>
      </x:c>
      <x:c r="L28" s="12" t="n">
        <x:v>115338353.9202279</x:v>
      </x:c>
      <x:c r="M28" s="12" t="n">
        <x:v>224343.45020325202</x:v>
      </x:c>
      <x:c r="N28" s="12" t="n">
        <x:v>11.476029535800848</x:v>
      </x:c>
      <x:c r="O28" s="12" t="n">
        <x:v>62</x:v>
      </x:c>
      <x:c r="P28" s="12" t="n">
        <x:v>10</x:v>
      </x:c>
      <x:c r="Q28" s="12" t="str">
        <x:v>Conservative design envelope: C=62 MPa from MAT-002 static shear strength and b=10</x:v>
      </x:c>
      <x:c r="R28" s="12" t="n">
        <x:v>1.1824711189676407</x:v>
      </x:c>
      <x:c r="S28" s="12" t="str">
        <x:v>FAIL</x:v>
      </x:c>
      <x:c r="T28" s="12" t="n">
        <x:v>0.021395987270137175</x:v>
      </x:c>
      <x:c r="U28" s="12" t="n">
        <x:v>1.1482233191825644e-17</x:v>
      </x:c>
      <x:c r="V28" s="12" t="str">
        <x:v>SOURCED_CURVE_PASS</x:v>
      </x:c>
    </x:row>
    <x:row r="29" ht="66" hidden="0" customHeight="1">
      <x:c r="A29" s="12" t="str">
        <x:v>nominal_b10_equal50</x:v>
      </x:c>
      <x:c r="B29" s="12" t="n">
        <x:v>14.35</x:v>
      </x:c>
      <x:c r="C29" s="12" t="str">
        <x:v>aft</x:v>
      </x:c>
      <x:c r="D29" s="12" t="str">
        <x:v>day4_baseline</x:v>
      </x:c>
      <x:c r="E29" s="12" t="str">
        <x:v>equal_50_50</x:v>
      </x:c>
      <x:c r="F29" s="12" t="n">
        <x:v>0</x:v>
      </x:c>
      <x:c r="G29" s="12" t="n">
        <x:v>0.5</x:v>
      </x:c>
      <x:c r="H29" s="12" t="n">
        <x:v>0.5</x:v>
      </x:c>
      <x:c r="I29" s="12" t="n">
        <x:v>3</x:v>
      </x:c>
      <x:c r="J29" s="12" t="n">
        <x:v>0.05</x:v>
      </x:c>
      <x:c r="K29" s="12" t="n">
        <x:v>71900000</x:v>
      </x:c>
      <x:c r="L29" s="12" t="n">
        <x:v>97821526.2635922</x:v>
      </x:c>
      <x:c r="M29" s="12" t="n">
        <x:v>224343.45020325202</x:v>
      </x:c>
      <x:c r="N29" s="12" t="n">
        <x:v>13.531033574680814</x:v>
      </x:c>
      <x:c r="O29" s="12" t="n">
        <x:v>62</x:v>
      </x:c>
      <x:c r="P29" s="12" t="n">
        <x:v>10</x:v>
      </x:c>
      <x:c r="Q29" s="12" t="str">
        <x:v>Conservative design envelope: C=62 MPa from MAT-002 static shear strength and b=10</x:v>
      </x:c>
      <x:c r="R29" s="12" t="n">
        <x:v>6.140216518547299</x:v>
      </x:c>
      <x:c r="S29" s="12" t="str">
        <x:v>FAIL</x:v>
      </x:c>
      <x:c r="T29" s="12" t="n">
        <x:v>0.025227350732455755</x:v>
      </x:c>
      <x:c r="U29" s="12" t="n">
        <x:v>8.398878137777304e-17</x:v>
      </x:c>
      <x:c r="V29" s="12" t="str">
        <x:v>SOURCED_CURVE_PASS</x:v>
      </x:c>
    </x:row>
    <x:row r="30" ht="66" hidden="0" customHeight="1">
      <x:c r="A30" s="12" t="str">
        <x:v>nominal_b10_split0</x:v>
      </x:c>
      <x:c r="B30" s="12" t="n">
        <x:v>14.35</x:v>
      </x:c>
      <x:c r="C30" s="12" t="str">
        <x:v>forward</x:v>
      </x:c>
      <x:c r="D30" s="12" t="str">
        <x:v>fatigue_reinforced_legacy</x:v>
      </x:c>
      <x:c r="E30" s="12" t="str">
        <x:v>stiffness_based</x:v>
      </x:c>
      <x:c r="F30" s="12" t="n">
        <x:v>0</x:v>
      </x:c>
      <x:c r="G30" s="12" t="n">
        <x:v>0.5410884722808297</x:v>
      </x:c>
      <x:c r="H30" s="12" t="n">
        <x:v>0.5410884722808297</x:v>
      </x:c>
      <x:c r="I30" s="12" t="n">
        <x:v>4</x:v>
      </x:c>
      <x:c r="J30" s="12" t="n">
        <x:v>0.05</x:v>
      </x:c>
      <x:c r="K30" s="12" t="n">
        <x:v>95500000</x:v>
      </x:c>
      <x:c r="L30" s="12" t="n">
        <x:v>153196283.71880063</x:v>
      </x:c>
      <x:c r="M30" s="12" t="n">
        <x:v>224343.45020325202</x:v>
      </x:c>
      <x:c r="N30" s="12" t="n">
        <x:v>9.35008272473604</x:v>
      </x:c>
      <x:c r="O30" s="12" t="n">
        <x:v>62</x:v>
      </x:c>
      <x:c r="P30" s="12" t="n">
        <x:v>10</x:v>
      </x:c>
      <x:c r="Q30" s="12" t="str">
        <x:v>Conservative design envelope: C=62 MPa from MAT-002 static shear strength and b=10</x:v>
      </x:c>
      <x:c r="R30" s="12" t="n">
        <x:v>0.15241527782974607</x:v>
      </x:c>
      <x:c r="S30" s="12" t="str">
        <x:v>PASS</x:v>
      </x:c>
      <x:c r="T30" s="12" t="n">
        <x:v>0.017432357622389226</x:v>
      </x:c>
      <x:c r="U30" s="12" t="n">
        <x:v>9.66482107200129e-19</x:v>
      </x:c>
      <x:c r="V30" s="12" t="str">
        <x:v>SOURCED_CURVE_PASS</x:v>
      </x:c>
    </x:row>
    <x:row r="31" ht="66" hidden="0" customHeight="1">
      <x:c r="A31" s="12" t="str">
        <x:v>nominal_b10_split0</x:v>
      </x:c>
      <x:c r="B31" s="12" t="n">
        <x:v>14.35</x:v>
      </x:c>
      <x:c r="C31" s="12" t="str">
        <x:v>aft</x:v>
      </x:c>
      <x:c r="D31" s="12" t="str">
        <x:v>fatigue_reinforced_legacy</x:v>
      </x:c>
      <x:c r="E31" s="12" t="str">
        <x:v>stiffness_based</x:v>
      </x:c>
      <x:c r="F31" s="12" t="n">
        <x:v>0</x:v>
      </x:c>
      <x:c r="G31" s="12" t="n">
        <x:v>0.4589115277191704</x:v>
      </x:c>
      <x:c r="H31" s="12" t="n">
        <x:v>0.4589115277191703</x:v>
      </x:c>
      <x:c r="I31" s="12" t="n">
        <x:v>4</x:v>
      </x:c>
      <x:c r="J31" s="12" t="n">
        <x:v>0.05</x:v>
      </x:c>
      <x:c r="K31" s="12" t="n">
        <x:v>95500000</x:v>
      </x:c>
      <x:c r="L31" s="12" t="n">
        <x:v>129929843.6463568</x:v>
      </x:c>
      <x:c r="M31" s="12" t="n">
        <x:v>224343.45020325202</x:v>
      </x:c>
      <x:c r="N31" s="12" t="n">
        <x:v>9.350082724736037</x:v>
      </x:c>
      <x:c r="O31" s="12" t="n">
        <x:v>62</x:v>
      </x:c>
      <x:c r="P31" s="12" t="n">
        <x:v>10</x:v>
      </x:c>
      <x:c r="Q31" s="12" t="str">
        <x:v>Conservative design envelope: C=62 MPa from MAT-002 static shear strength and b=10</x:v>
      </x:c>
      <x:c r="R31" s="12" t="n">
        <x:v>0.15241527782974565</x:v>
      </x:c>
      <x:c r="S31" s="12" t="str">
        <x:v>PASS</x:v>
      </x:c>
      <x:c r="T31" s="12" t="n">
        <x:v>0.017432357622389223</x:v>
      </x:c>
      <x:c r="U31" s="12" t="n">
        <x:v>9.664821072001249e-19</x:v>
      </x:c>
      <x:c r="V31" s="12" t="str">
        <x:v>SOURCED_CURVE_PASS</x:v>
      </x:c>
    </x:row>
    <x:row r="32" ht="66" hidden="0" customHeight="1">
      <x:c r="A32" s="12" t="str">
        <x:v>nominal_b10_split0</x:v>
      </x:c>
      <x:c r="B32" s="12" t="n">
        <x:v>18.45</x:v>
      </x:c>
      <x:c r="C32" s="12" t="str">
        <x:v>forward</x:v>
      </x:c>
      <x:c r="D32" s="12" t="str">
        <x:v>day4_baseline</x:v>
      </x:c>
      <x:c r="E32" s="12" t="str">
        <x:v>stiffness_based</x:v>
      </x:c>
      <x:c r="F32" s="12" t="n">
        <x:v>0</x:v>
      </x:c>
      <x:c r="G32" s="12" t="n">
        <x:v>0.5428240158094023</x:v>
      </x:c>
      <x:c r="H32" s="12" t="n">
        <x:v>0.5428240158094023</x:v>
      </x:c>
      <x:c r="I32" s="12" t="n">
        <x:v>3</x:v>
      </x:c>
      <x:c r="J32" s="12" t="n">
        <x:v>0.05</x:v>
      </x:c>
      <x:c r="K32" s="12" t="n">
        <x:v>71900000</x:v>
      </x:c>
      <x:c r="L32" s="12" t="n">
        <x:v>110722656.78151125</x:v>
      </x:c>
      <x:c r="M32" s="12" t="n">
        <x:v>212386.75711382105</x:v>
      </x:c>
      <x:c r="N32" s="12" t="n">
        <x:v>12.286607835100627</x:v>
      </x:c>
      <x:c r="O32" s="12" t="n">
        <x:v>62</x:v>
      </x:c>
      <x:c r="P32" s="12" t="n">
        <x:v>10</x:v>
      </x:c>
      <x:c r="Q32" s="12" t="str">
        <x:v>Conservative design envelope: C=62 MPa from MAT-002 static shear strength and b=10</x:v>
      </x:c>
      <x:c r="R32" s="12" t="n">
        <x:v>2.339881886822864</x:v>
      </x:c>
      <x:c r="S32" s="12" t="str">
        <x:v>FAIL</x:v>
      </x:c>
      <x:c r="T32" s="12" t="n">
        <x:v>0.02290723494679778</x:v>
      </x:c>
      <x:c r="U32" s="12" t="n">
        <x:v>2.618675360075221e-17</x:v>
      </x:c>
      <x:c r="V32" s="12" t="str">
        <x:v>SOURCED_CURVE_PASS</x:v>
      </x:c>
    </x:row>
    <x:row r="33" ht="66" hidden="0" customHeight="1">
      <x:c r="A33" s="12" t="str">
        <x:v>nominal_b10_split0</x:v>
      </x:c>
      <x:c r="B33" s="12" t="n">
        <x:v>18.45</x:v>
      </x:c>
      <x:c r="C33" s="12" t="str">
        <x:v>aft</x:v>
      </x:c>
      <x:c r="D33" s="12" t="str">
        <x:v>day4_baseline</x:v>
      </x:c>
      <x:c r="E33" s="12" t="str">
        <x:v>stiffness_based</x:v>
      </x:c>
      <x:c r="F33" s="12" t="n">
        <x:v>0</x:v>
      </x:c>
      <x:c r="G33" s="12" t="n">
        <x:v>0.4571759841905977</x:v>
      </x:c>
      <x:c r="H33" s="12" t="n">
        <x:v>0.4571759841905977</x:v>
      </x:c>
      <x:c r="I33" s="12" t="n">
        <x:v>3</x:v>
      </x:c>
      <x:c r="J33" s="12" t="n">
        <x:v>0.05</x:v>
      </x:c>
      <x:c r="K33" s="12" t="n">
        <x:v>71900000</x:v>
      </x:c>
      <x:c r="L33" s="12" t="n">
        <x:v>93252579.3111904</x:v>
      </x:c>
      <x:c r="M33" s="12" t="n">
        <x:v>212386.75711382105</x:v>
      </x:c>
      <x:c r="N33" s="12" t="n">
        <x:v>12.286607835100627</x:v>
      </x:c>
      <x:c r="O33" s="12" t="n">
        <x:v>62</x:v>
      </x:c>
      <x:c r="P33" s="12" t="n">
        <x:v>10</x:v>
      </x:c>
      <x:c r="Q33" s="12" t="str">
        <x:v>Conservative design envelope: C=62 MPa from MAT-002 static shear strength and b=10</x:v>
      </x:c>
      <x:c r="R33" s="12" t="n">
        <x:v>2.339881886822864</x:v>
      </x:c>
      <x:c r="S33" s="12" t="str">
        <x:v>FAIL</x:v>
      </x:c>
      <x:c r="T33" s="12" t="n">
        <x:v>0.02290723494679778</x:v>
      </x:c>
      <x:c r="U33" s="12" t="n">
        <x:v>2.618675360075221e-17</x:v>
      </x:c>
      <x:c r="V33" s="12" t="str">
        <x:v>SOURCED_CURVE_PASS</x:v>
      </x:c>
    </x:row>
    <x:row r="34" ht="66" hidden="0" customHeight="1">
      <x:c r="A34" s="12" t="str">
        <x:v>nominal_b10_equal50</x:v>
      </x:c>
      <x:c r="B34" s="12" t="n">
        <x:v>18.45</x:v>
      </x:c>
      <x:c r="C34" s="12" t="str">
        <x:v>forward</x:v>
      </x:c>
      <x:c r="D34" s="12" t="str">
        <x:v>day4_baseline</x:v>
      </x:c>
      <x:c r="E34" s="12" t="str">
        <x:v>equal_50_50</x:v>
      </x:c>
      <x:c r="F34" s="12" t="n">
        <x:v>0</x:v>
      </x:c>
      <x:c r="G34" s="12" t="n">
        <x:v>0.5</x:v>
      </x:c>
      <x:c r="H34" s="12" t="n">
        <x:v>0.5</x:v>
      </x:c>
      <x:c r="I34" s="12" t="n">
        <x:v>3</x:v>
      </x:c>
      <x:c r="J34" s="12" t="n">
        <x:v>0.05</x:v>
      </x:c>
      <x:c r="K34" s="12" t="n">
        <x:v>71900000</x:v>
      </x:c>
      <x:c r="L34" s="12" t="n">
        <x:v>110722656.78151125</x:v>
      </x:c>
      <x:c r="M34" s="12" t="n">
        <x:v>212386.75711382105</x:v>
      </x:c>
      <x:c r="N34" s="12" t="n">
        <x:v>11.317303101245555</x:v>
      </x:c>
      <x:c r="O34" s="12" t="n">
        <x:v>62</x:v>
      </x:c>
      <x:c r="P34" s="12" t="n">
        <x:v>10</x:v>
      </x:c>
      <x:c r="Q34" s="12" t="str">
        <x:v>Conservative design envelope: C=62 MPa from MAT-002 static shear strength and b=10</x:v>
      </x:c>
      <x:c r="R34" s="12" t="n">
        <x:v>1.028734826779954</x:v>
      </x:c>
      <x:c r="S34" s="12" t="str">
        <x:v>FAIL</x:v>
      </x:c>
      <x:c r="T34" s="12" t="n">
        <x:v>0.021100056629440863</x:v>
      </x:c>
      <x:c r="U34" s="12" t="n">
        <x:v>9.704159955206132e-18</x:v>
      </x:c>
      <x:c r="V34" s="12" t="str">
        <x:v>SOURCED_CURVE_PASS</x:v>
      </x:c>
    </x:row>
    <x:row r="35" ht="66" hidden="0" customHeight="1">
      <x:c r="A35" s="12" t="str">
        <x:v>nominal_b10_equal50</x:v>
      </x:c>
      <x:c r="B35" s="12" t="n">
        <x:v>18.45</x:v>
      </x:c>
      <x:c r="C35" s="12" t="str">
        <x:v>aft</x:v>
      </x:c>
      <x:c r="D35" s="12" t="str">
        <x:v>day4_baseline</x:v>
      </x:c>
      <x:c r="E35" s="12" t="str">
        <x:v>equal_50_50</x:v>
      </x:c>
      <x:c r="F35" s="12" t="n">
        <x:v>0</x:v>
      </x:c>
      <x:c r="G35" s="12" t="n">
        <x:v>0.5</x:v>
      </x:c>
      <x:c r="H35" s="12" t="n">
        <x:v>0.5</x:v>
      </x:c>
      <x:c r="I35" s="12" t="n">
        <x:v>3</x:v>
      </x:c>
      <x:c r="J35" s="12" t="n">
        <x:v>0.05</x:v>
      </x:c>
      <x:c r="K35" s="12" t="n">
        <x:v>71900000</x:v>
      </x:c>
      <x:c r="L35" s="12" t="n">
        <x:v>93252579.3111904</x:v>
      </x:c>
      <x:c r="M35" s="12" t="n">
        <x:v>212386.75711382105</x:v>
      </x:c>
      <x:c r="N35" s="12" t="n">
        <x:v>13.437503565342919</x:v>
      </x:c>
      <x:c r="O35" s="12" t="n">
        <x:v>62</x:v>
      </x:c>
      <x:c r="P35" s="12" t="n">
        <x:v>10</x:v>
      </x:c>
      <x:c r="Q35" s="12" t="str">
        <x:v>Conservative design envelope: C=62 MPa from MAT-002 static shear strength and b=10</x:v>
      </x:c>
      <x:c r="R35" s="12" t="n">
        <x:v>5.728750312332653</x:v>
      </x:c>
      <x:c r="S35" s="12" t="str">
        <x:v>FAIL</x:v>
      </x:c>
      <x:c r="T35" s="12" t="n">
        <x:v>0.025052972748944424</x:v>
      </x:c>
      <x:c r="U35" s="12" t="n">
        <x:v>7.723812803770695e-17</x:v>
      </x:c>
      <x:c r="V35" s="12" t="str">
        <x:v>SOURCED_CURVE_PASS</x:v>
      </x:c>
    </x:row>
    <x:row r="36" ht="66" hidden="0" customHeight="1">
      <x:c r="A36" s="12" t="str">
        <x:v>nominal_b10_split0</x:v>
      </x:c>
      <x:c r="B36" s="12" t="n">
        <x:v>18.45</x:v>
      </x:c>
      <x:c r="C36" s="12" t="str">
        <x:v>forward</x:v>
      </x:c>
      <x:c r="D36" s="12" t="str">
        <x:v>fatigue_reinforced_legacy</x:v>
      </x:c>
      <x:c r="E36" s="12" t="str">
        <x:v>stiffness_based</x:v>
      </x:c>
      <x:c r="F36" s="12" t="n">
        <x:v>0</x:v>
      </x:c>
      <x:c r="G36" s="12" t="n">
        <x:v>0.5428240158094023</x:v>
      </x:c>
      <x:c r="H36" s="12" t="n">
        <x:v>0.5428240158094023</x:v>
      </x:c>
      <x:c r="I36" s="12" t="n">
        <x:v>4</x:v>
      </x:c>
      <x:c r="J36" s="12" t="n">
        <x:v>0.05</x:v>
      </x:c>
      <x:c r="K36" s="12" t="n">
        <x:v>95500000</x:v>
      </x:c>
      <x:c r="L36" s="12" t="n">
        <x:v>147065559.42467767</x:v>
      </x:c>
      <x:c r="M36" s="12" t="n">
        <x:v>212386.75711382105</x:v>
      </x:c>
      <x:c r="N36" s="12" t="n">
        <x:v>9.250336160667382</x:v>
      </x:c>
      <x:c r="O36" s="12" t="n">
        <x:v>62</x:v>
      </x:c>
      <x:c r="P36" s="12" t="n">
        <x:v>10</x:v>
      </x:c>
      <x:c r="Q36" s="12" t="str">
        <x:v>Conservative design envelope: C=62 MPa from MAT-002 static shear strength and b=10</x:v>
      </x:c>
      <x:c r="R36" s="12" t="n">
        <x:v>0.13691439873137565</x:v>
      </x:c>
      <x:c r="S36" s="12" t="str">
        <x:v>PASS</x:v>
      </x:c>
      <x:c r="T36" s="12" t="n">
        <x:v>0.01724638945209173</x:v>
      </x:c>
      <x:c r="U36" s="12" t="n">
        <x:v>8.490356554297152e-19</x:v>
      </x:c>
      <x:c r="V36" s="12" t="str">
        <x:v>SOURCED_CURVE_PASS</x:v>
      </x:c>
    </x:row>
    <x:row r="37" ht="66" hidden="0" customHeight="1">
      <x:c r="A37" s="12" t="str">
        <x:v>nominal_b10_split0</x:v>
      </x:c>
      <x:c r="B37" s="12" t="n">
        <x:v>18.45</x:v>
      </x:c>
      <x:c r="C37" s="12" t="str">
        <x:v>aft</x:v>
      </x:c>
      <x:c r="D37" s="12" t="str">
        <x:v>fatigue_reinforced_legacy</x:v>
      </x:c>
      <x:c r="E37" s="12" t="str">
        <x:v>stiffness_based</x:v>
      </x:c>
      <x:c r="F37" s="12" t="n">
        <x:v>0</x:v>
      </x:c>
      <x:c r="G37" s="12" t="n">
        <x:v>0.4571759841905977</x:v>
      </x:c>
      <x:c r="H37" s="12" t="n">
        <x:v>0.4571759841905977</x:v>
      </x:c>
      <x:c r="I37" s="12" t="n">
        <x:v>4</x:v>
      </x:c>
      <x:c r="J37" s="12" t="n">
        <x:v>0.05</x:v>
      </x:c>
      <x:c r="K37" s="12" t="n">
        <x:v>95500000</x:v>
      </x:c>
      <x:c r="L37" s="12" t="n">
        <x:v>123861214.52320838</x:v>
      </x:c>
      <x:c r="M37" s="12" t="n">
        <x:v>212386.75711382105</x:v>
      </x:c>
      <x:c r="N37" s="12" t="n">
        <x:v>9.250336160667382</x:v>
      </x:c>
      <x:c r="O37" s="12" t="n">
        <x:v>62</x:v>
      </x:c>
      <x:c r="P37" s="12" t="n">
        <x:v>10</x:v>
      </x:c>
      <x:c r="Q37" s="12" t="str">
        <x:v>Conservative design envelope: C=62 MPa from MAT-002 static shear strength and b=10</x:v>
      </x:c>
      <x:c r="R37" s="12" t="n">
        <x:v>0.13691439873137565</x:v>
      </x:c>
      <x:c r="S37" s="12" t="str">
        <x:v>PASS</x:v>
      </x:c>
      <x:c r="T37" s="12" t="n">
        <x:v>0.01724638945209173</x:v>
      </x:c>
      <x:c r="U37" s="12" t="n">
        <x:v>8.490356554297152e-19</x:v>
      </x:c>
      <x:c r="V37" s="12" t="str">
        <x:v>SOURCED_CURVE_PASS</x:v>
      </x:c>
    </x:row>
    <x:row r="38" ht="66" hidden="0" customHeight="1">
      <x:c r="A38" s="12" t="str">
        <x:v>nominal_b10_split0</x:v>
      </x:c>
      <x:c r="B38" s="12" t="n">
        <x:v>22.55</x:v>
      </x:c>
      <x:c r="C38" s="12" t="str">
        <x:v>forward</x:v>
      </x:c>
      <x:c r="D38" s="12" t="str">
        <x:v>day4_baseline</x:v>
      </x:c>
      <x:c r="E38" s="12" t="str">
        <x:v>stiffness_based</x:v>
      </x:c>
      <x:c r="F38" s="12" t="n">
        <x:v>0</x:v>
      </x:c>
      <x:c r="G38" s="12" t="n">
        <x:v>0.544921778583128</x:v>
      </x:c>
      <x:c r="H38" s="12" t="n">
        <x:v>0.544921778583128</x:v>
      </x:c>
      <x:c r="I38" s="12" t="n">
        <x:v>3</x:v>
      </x:c>
      <x:c r="J38" s="12" t="n">
        <x:v>0.05</x:v>
      </x:c>
      <x:c r="K38" s="12" t="n">
        <x:v>71900000</x:v>
      </x:c>
      <x:c r="L38" s="12" t="n">
        <x:v>90721854.82323685</x:v>
      </x:c>
      <x:c r="M38" s="12" t="n">
        <x:v>194069.742886179</x:v>
      </x:c>
      <x:c r="N38" s="12" t="n">
        <x:v>13.75504711727211</x:v>
      </x:c>
      <x:c r="O38" s="12" t="n">
        <x:v>62</x:v>
      </x:c>
      <x:c r="P38" s="12" t="n">
        <x:v>10</x:v>
      </x:c>
      <x:c r="Q38" s="12" t="str">
        <x:v>Conservative design envelope: C=62 MPa from MAT-002 static shear strength and b=10</x:v>
      </x:c>
      <x:c r="R38" s="12" t="n">
        <x:v>7.2359372643611115</x:v>
      </x:c>
      <x:c r="S38" s="12" t="str">
        <x:v>FAIL</x:v>
      </x:c>
      <x:c r="T38" s="12" t="n">
        <x:v>0.025645003099998846</x:v>
      </x:c>
      <x:c r="U38" s="12" t="n">
        <x:v>1.0241536036679609e-16</x:v>
      </x:c>
      <x:c r="V38" s="12" t="str">
        <x:v>SOURCED_CURVE_PASS</x:v>
      </x:c>
    </x:row>
    <x:row r="39" ht="66" hidden="0" customHeight="1">
      <x:c r="A39" s="12" t="str">
        <x:v>nominal_b10_split0</x:v>
      </x:c>
      <x:c r="B39" s="12" t="n">
        <x:v>22.55</x:v>
      </x:c>
      <x:c r="C39" s="12" t="str">
        <x:v>aft</x:v>
      </x:c>
      <x:c r="D39" s="12" t="str">
        <x:v>day4_baseline</x:v>
      </x:c>
      <x:c r="E39" s="12" t="str">
        <x:v>stiffness_based</x:v>
      </x:c>
      <x:c r="F39" s="12" t="n">
        <x:v>0</x:v>
      </x:c>
      <x:c r="G39" s="12" t="n">
        <x:v>0.4550782214168721</x:v>
      </x:c>
      <x:c r="H39" s="12" t="n">
        <x:v>0.45507822141687204</x:v>
      </x:c>
      <x:c r="I39" s="12" t="n">
        <x:v>3</x:v>
      </x:c>
      <x:c r="J39" s="12" t="n">
        <x:v>0.05</x:v>
      </x:c>
      <x:c r="K39" s="12" t="n">
        <x:v>71900000</x:v>
      </x:c>
      <x:c r="L39" s="12" t="n">
        <x:v>75764159.11279307</x:v>
      </x:c>
      <x:c r="M39" s="12" t="n">
        <x:v>194069.742886179</x:v>
      </x:c>
      <x:c r="N39" s="12" t="n">
        <x:v>13.75504711727211</x:v>
      </x:c>
      <x:c r="O39" s="12" t="n">
        <x:v>62</x:v>
      </x:c>
      <x:c r="P39" s="12" t="n">
        <x:v>10</x:v>
      </x:c>
      <x:c r="Q39" s="12" t="str">
        <x:v>Conservative design envelope: C=62 MPa from MAT-002 static shear strength and b=10</x:v>
      </x:c>
      <x:c r="R39" s="12" t="n">
        <x:v>7.2359372643611115</x:v>
      </x:c>
      <x:c r="S39" s="12" t="str">
        <x:v>FAIL</x:v>
      </x:c>
      <x:c r="T39" s="12" t="n">
        <x:v>0.025645003099998846</x:v>
      </x:c>
      <x:c r="U39" s="12" t="n">
        <x:v>1.0241536036679609e-16</x:v>
      </x:c>
      <x:c r="V39" s="12" t="str">
        <x:v>SOURCED_CURVE_PASS</x:v>
      </x:c>
    </x:row>
    <x:row r="40" ht="66" hidden="0" customHeight="1">
      <x:c r="A40" s="12" t="str">
        <x:v>nominal_b10_equal50</x:v>
      </x:c>
      <x:c r="B40" s="12" t="n">
        <x:v>22.55</x:v>
      </x:c>
      <x:c r="C40" s="12" t="str">
        <x:v>forward</x:v>
      </x:c>
      <x:c r="D40" s="12" t="str">
        <x:v>day4_baseline</x:v>
      </x:c>
      <x:c r="E40" s="12" t="str">
        <x:v>equal_50_50</x:v>
      </x:c>
      <x:c r="F40" s="12" t="n">
        <x:v>0</x:v>
      </x:c>
      <x:c r="G40" s="12" t="n">
        <x:v>0.5</x:v>
      </x:c>
      <x:c r="H40" s="12" t="n">
        <x:v>0.5</x:v>
      </x:c>
      <x:c r="I40" s="12" t="n">
        <x:v>3</x:v>
      </x:c>
      <x:c r="J40" s="12" t="n">
        <x:v>0.05</x:v>
      </x:c>
      <x:c r="K40" s="12" t="n">
        <x:v>71900000</x:v>
      </x:c>
      <x:c r="L40" s="12" t="n">
        <x:v>90721854.82323685</x:v>
      </x:c>
      <x:c r="M40" s="12" t="n">
        <x:v>194069.742886179</x:v>
      </x:c>
      <x:c r="N40" s="12" t="n">
        <x:v>12.621120735013687</x:v>
      </x:c>
      <x:c r="O40" s="12" t="n">
        <x:v>62</x:v>
      </x:c>
      <x:c r="P40" s="12" t="n">
        <x:v>10</x:v>
      </x:c>
      <x:c r="Q40" s="12" t="str">
        <x:v>Conservative design envelope: C=62 MPa from MAT-002 static shear strength and b=10</x:v>
      </x:c>
      <x:c r="R40" s="12" t="n">
        <x:v>3.060928476136337</x:v>
      </x:c>
      <x:c r="S40" s="12" t="str">
        <x:v>FAIL</x:v>
      </x:c>
      <x:c r="T40" s="12" t="n">
        <x:v>0.023530903065279756</x:v>
      </x:c>
      <x:c r="U40" s="12" t="n">
        <x:v>3.622480290183558e-17</x:v>
      </x:c>
      <x:c r="V40" s="12" t="str">
        <x:v>SOURCED_CURVE_PASS</x:v>
      </x:c>
    </x:row>
    <x:row r="41" ht="66" hidden="0" customHeight="1">
      <x:c r="A41" s="12" t="str">
        <x:v>nominal_b10_equal50</x:v>
      </x:c>
      <x:c r="B41" s="12" t="n">
        <x:v>22.55</x:v>
      </x:c>
      <x:c r="C41" s="12" t="str">
        <x:v>aft</x:v>
      </x:c>
      <x:c r="D41" s="12" t="str">
        <x:v>day4_baseline</x:v>
      </x:c>
      <x:c r="E41" s="12" t="str">
        <x:v>equal_50_50</x:v>
      </x:c>
      <x:c r="F41" s="12" t="n">
        <x:v>0</x:v>
      </x:c>
      <x:c r="G41" s="12" t="n">
        <x:v>0.5</x:v>
      </x:c>
      <x:c r="H41" s="12" t="n">
        <x:v>0.5</x:v>
      </x:c>
      <x:c r="I41" s="12" t="n">
        <x:v>3</x:v>
      </x:c>
      <x:c r="J41" s="12" t="n">
        <x:v>0.05</x:v>
      </x:c>
      <x:c r="K41" s="12" t="n">
        <x:v>71900000</x:v>
      </x:c>
      <x:c r="L41" s="12" t="n">
        <x:v>75764159.11279307</x:v>
      </x:c>
      <x:c r="M41" s="12" t="n">
        <x:v>194069.742886179</x:v>
      </x:c>
      <x:c r="N41" s="12" t="n">
        <x:v>15.112838265964685</x:v>
      </x:c>
      <x:c r="O41" s="12" t="n">
        <x:v>62</x:v>
      </x:c>
      <x:c r="P41" s="12" t="n">
        <x:v>10</x:v>
      </x:c>
      <x:c r="Q41" s="12" t="str">
        <x:v>Conservative design envelope: C=62 MPa from MAT-002 static shear strength and b=10</x:v>
      </x:c>
      <x:c r="R41" s="12" t="n">
        <x:v>18.549590030219925</x:v>
      </x:c>
      <x:c r="S41" s="12" t="str">
        <x:v>FAIL</x:v>
      </x:c>
      <x:c r="T41" s="12" t="n">
        <x:v>0.028176478122985005</x:v>
      </x:c>
      <x:c r="U41" s="12" t="n">
        <x:v>3.1933258816968994e-16</x:v>
      </x:c>
      <x:c r="V41" s="12" t="str">
        <x:v>SOURCED_CURVE_PASS</x:v>
      </x:c>
    </x:row>
    <x:row r="42" ht="66" hidden="0" customHeight="1">
      <x:c r="A42" s="12" t="str">
        <x:v>nominal_b10_split0</x:v>
      </x:c>
      <x:c r="B42" s="12" t="n">
        <x:v>22.55</x:v>
      </x:c>
      <x:c r="C42" s="12" t="str">
        <x:v>forward</x:v>
      </x:c>
      <x:c r="D42" s="12" t="str">
        <x:v>fatigue_reinforced_legacy</x:v>
      </x:c>
      <x:c r="E42" s="12" t="str">
        <x:v>stiffness_based</x:v>
      </x:c>
      <x:c r="F42" s="12" t="n">
        <x:v>0</x:v>
      </x:c>
      <x:c r="G42" s="12" t="n">
        <x:v>0.544921778583128</x:v>
      </x:c>
      <x:c r="H42" s="12" t="n">
        <x:v>0.544921778583128</x:v>
      </x:c>
      <x:c r="I42" s="12" t="n">
        <x:v>4</x:v>
      </x:c>
      <x:c r="J42" s="12" t="n">
        <x:v>0.05</x:v>
      </x:c>
      <x:c r="K42" s="12" t="n">
        <x:v>95500000</x:v>
      </x:c>
      <x:c r="L42" s="12" t="n">
        <x:v>120499821.0795427</x:v>
      </x:c>
      <x:c r="M42" s="12" t="n">
        <x:v>194069.742886179</x:v>
      </x:c>
      <x:c r="N42" s="12" t="n">
        <x:v>10.355894112375546</x:v>
      </x:c>
      <x:c r="O42" s="12" t="n">
        <x:v>62</x:v>
      </x:c>
      <x:c r="P42" s="12" t="n">
        <x:v>10</x:v>
      </x:c>
      <x:c r="Q42" s="12" t="str">
        <x:v>Conservative design envelope: C=62 MPa from MAT-002 static shear strength and b=10</x:v>
      </x:c>
      <x:c r="R42" s="12" t="n">
        <x:v>0.4233991490712189</x:v>
      </x:c>
      <x:c r="S42" s="12" t="str">
        <x:v>PASS</x:v>
      </x:c>
      <x:c r="T42" s="12" t="n">
        <x:v>0.019307599192564577</x:v>
      </x:c>
      <x:c r="U42" s="12" t="n">
        <x:v>3.3205449572258526e-18</x:v>
      </x:c>
      <x:c r="V42" s="12" t="str">
        <x:v>SOURCED_CURVE_PASS</x:v>
      </x:c>
    </x:row>
    <x:row r="43" ht="66" hidden="0" customHeight="1">
      <x:c r="A43" s="12" t="str">
        <x:v>nominal_b10_split0</x:v>
      </x:c>
      <x:c r="B43" s="12" t="n">
        <x:v>22.55</x:v>
      </x:c>
      <x:c r="C43" s="12" t="str">
        <x:v>aft</x:v>
      </x:c>
      <x:c r="D43" s="12" t="str">
        <x:v>fatigue_reinforced_legacy</x:v>
      </x:c>
      <x:c r="E43" s="12" t="str">
        <x:v>stiffness_based</x:v>
      </x:c>
      <x:c r="F43" s="12" t="n">
        <x:v>0</x:v>
      </x:c>
      <x:c r="G43" s="12" t="n">
        <x:v>0.455078221416872</x:v>
      </x:c>
      <x:c r="H43" s="12" t="n">
        <x:v>0.45507822141687204</x:v>
      </x:c>
      <x:c r="I43" s="12" t="n">
        <x:v>4</x:v>
      </x:c>
      <x:c r="J43" s="12" t="n">
        <x:v>0.05</x:v>
      </x:c>
      <x:c r="K43" s="12" t="n">
        <x:v>95500000</x:v>
      </x:c>
      <x:c r="L43" s="12" t="n">
        <x:v>100632506.19293098</x:v>
      </x:c>
      <x:c r="M43" s="12" t="n">
        <x:v>194069.742886179</x:v>
      </x:c>
      <x:c r="N43" s="12" t="n">
        <x:v>10.355894112375546</x:v>
      </x:c>
      <x:c r="O43" s="12" t="n">
        <x:v>62</x:v>
      </x:c>
      <x:c r="P43" s="12" t="n">
        <x:v>10</x:v>
      </x:c>
      <x:c r="Q43" s="12" t="str">
        <x:v>Conservative design envelope: C=62 MPa from MAT-002 static shear strength and b=10</x:v>
      </x:c>
      <x:c r="R43" s="12" t="n">
        <x:v>0.4233991490712189</x:v>
      </x:c>
      <x:c r="S43" s="12" t="str">
        <x:v>PASS</x:v>
      </x:c>
      <x:c r="T43" s="12" t="n">
        <x:v>0.019307599192564577</x:v>
      </x:c>
      <x:c r="U43" s="12" t="n">
        <x:v>3.3205449572258526e-18</x:v>
      </x:c>
      <x:c r="V43" s="12" t="str">
        <x:v>SOURCED_CURVE_PASS</x:v>
      </x:c>
    </x:row>
    <x:row r="44" ht="66" hidden="0" customHeight="1">
      <x:c r="A44" s="12" t="str">
        <x:v>nominal_b10_split0</x:v>
      </x:c>
      <x:c r="B44" s="12" t="n">
        <x:v>26.65</x:v>
      </x:c>
      <x:c r="C44" s="12" t="str">
        <x:v>forward</x:v>
      </x:c>
      <x:c r="D44" s="12" t="str">
        <x:v>day4_baseline</x:v>
      </x:c>
      <x:c r="E44" s="12" t="str">
        <x:v>stiffness_based</x:v>
      </x:c>
      <x:c r="F44" s="12" t="n">
        <x:v>0</x:v>
      </x:c>
      <x:c r="G44" s="12" t="n">
        <x:v>0.5320740942072231</x:v>
      </x:c>
      <x:c r="H44" s="12" t="n">
        <x:v>0.5320740942072231</x:v>
      </x:c>
      <x:c r="I44" s="12" t="n">
        <x:v>3</x:v>
      </x:c>
      <x:c r="J44" s="12" t="n">
        <x:v>0.05</x:v>
      </x:c>
      <x:c r="K44" s="12" t="n">
        <x:v>71900000</x:v>
      </x:c>
      <x:c r="L44" s="12" t="n">
        <x:v>72023260.51564316</x:v>
      </x:c>
      <x:c r="M44" s="12" t="n">
        <x:v>175708.31300813012</x:v>
      </x:c>
      <x:c r="N44" s="12" t="n">
        <x:v>15.316997892985675</x:v>
      </x:c>
      <x:c r="O44" s="12" t="n">
        <x:v>62</x:v>
      </x:c>
      <x:c r="P44" s="12" t="n">
        <x:v>10</x:v>
      </x:c>
      <x:c r="Q44" s="12" t="str">
        <x:v>Conservative design envelope: C=62 MPa from MAT-002 static shear strength and b=10</x:v>
      </x:c>
      <x:c r="R44" s="12" t="n">
        <x:v>21.213410457134746</x:v>
      </x:c>
      <x:c r="S44" s="12" t="str">
        <x:v>FAIL</x:v>
      </x:c>
      <x:c r="T44" s="12" t="n">
        <x:v>0.028557114715736007</x:v>
      </x:c>
      <x:c r="U44" s="12" t="n">
        <x:v>3.7552673895161954e-16</x:v>
      </x:c>
      <x:c r="V44" s="12" t="str">
        <x:v>SOURCED_CURVE_PASS</x:v>
      </x:c>
    </x:row>
    <x:row r="45" ht="66" hidden="0" customHeight="1">
      <x:c r="A45" s="12" t="str">
        <x:v>nominal_b10_split0</x:v>
      </x:c>
      <x:c r="B45" s="12" t="n">
        <x:v>26.65</x:v>
      </x:c>
      <x:c r="C45" s="12" t="str">
        <x:v>aft</x:v>
      </x:c>
      <x:c r="D45" s="12" t="str">
        <x:v>day4_baseline</x:v>
      </x:c>
      <x:c r="E45" s="12" t="str">
        <x:v>stiffness_based</x:v>
      </x:c>
      <x:c r="F45" s="12" t="n">
        <x:v>0</x:v>
      </x:c>
      <x:c r="G45" s="12" t="n">
        <x:v>0.46792590579277693</x:v>
      </x:c>
      <x:c r="H45" s="12" t="n">
        <x:v>0.46792590579277693</x:v>
      </x:c>
      <x:c r="I45" s="12" t="n">
        <x:v>3</x:v>
      </x:c>
      <x:c r="J45" s="12" t="n">
        <x:v>0.05</x:v>
      </x:c>
      <x:c r="K45" s="12" t="n">
        <x:v>71900000</x:v>
      </x:c>
      <x:c r="L45" s="12" t="n">
        <x:v>63339955.434488736</x:v>
      </x:c>
      <x:c r="M45" s="12" t="n">
        <x:v>175708.31300813012</x:v>
      </x:c>
      <x:c r="N45" s="12" t="n">
        <x:v>15.316997892985679</x:v>
      </x:c>
      <x:c r="O45" s="12" t="n">
        <x:v>62</x:v>
      </x:c>
      <x:c r="P45" s="12" t="n">
        <x:v>10</x:v>
      </x:c>
      <x:c r="Q45" s="12" t="str">
        <x:v>Conservative design envelope: C=62 MPa from MAT-002 static shear strength and b=10</x:v>
      </x:c>
      <x:c r="R45" s="12" t="n">
        <x:v>21.213410457134817</x:v>
      </x:c>
      <x:c r="S45" s="12" t="str">
        <x:v>FAIL</x:v>
      </x:c>
      <x:c r="T45" s="12" t="n">
        <x:v>0.02855711471573601</x:v>
      </x:c>
      <x:c r="U45" s="12" t="n">
        <x:v>3.7552673895161954e-16</x:v>
      </x:c>
      <x:c r="V45" s="12" t="str">
        <x:v>SOURCED_CURVE_PASS</x:v>
      </x:c>
    </x:row>
    <x:row r="46" ht="66" hidden="0" customHeight="1">
      <x:c r="A46" s="12" t="str">
        <x:v>nominal_b10_equal50</x:v>
      </x:c>
      <x:c r="B46" s="12" t="n">
        <x:v>26.65</x:v>
      </x:c>
      <x:c r="C46" s="12" t="str">
        <x:v>forward</x:v>
      </x:c>
      <x:c r="D46" s="12" t="str">
        <x:v>day4_baseline</x:v>
      </x:c>
      <x:c r="E46" s="12" t="str">
        <x:v>equal_50_50</x:v>
      </x:c>
      <x:c r="F46" s="12" t="n">
        <x:v>0</x:v>
      </x:c>
      <x:c r="G46" s="12" t="n">
        <x:v>0.5</x:v>
      </x:c>
      <x:c r="H46" s="12" t="n">
        <x:v>0.5</x:v>
      </x:c>
      <x:c r="I46" s="12" t="n">
        <x:v>3</x:v>
      </x:c>
      <x:c r="J46" s="12" t="n">
        <x:v>0.05</x:v>
      </x:c>
      <x:c r="K46" s="12" t="n">
        <x:v>71900000</x:v>
      </x:c>
      <x:c r="L46" s="12" t="n">
        <x:v>72023260.51564316</x:v>
      </x:c>
      <x:c r="M46" s="12" t="n">
        <x:v>175708.31300813012</x:v>
      </x:c>
      <x:c r="N46" s="12" t="n">
        <x:v>14.393670035568649</x:v>
      </x:c>
      <x:c r="O46" s="12" t="n">
        <x:v>62</x:v>
      </x:c>
      <x:c r="P46" s="12" t="n">
        <x:v>10</x:v>
      </x:c>
      <x:c r="Q46" s="12" t="str">
        <x:v>Conservative design envelope: C=62 MPa from MAT-002 static shear strength and b=10</x:v>
      </x:c>
      <x:c r="R46" s="12" t="n">
        <x:v>11.391722440509678</x:v>
      </x:c>
      <x:c r="S46" s="12" t="str">
        <x:v>FAIL</x:v>
      </x:c>
      <x:c r="T46" s="12" t="n">
        <x:v>0.02683565599851782</x:v>
      </x:c>
      <x:c r="U46" s="12" t="n">
        <x:v>1.7719659679562637e-16</x:v>
      </x:c>
      <x:c r="V46" s="12" t="str">
        <x:v>SOURCED_CURVE_PASS</x:v>
      </x:c>
    </x:row>
    <x:row r="47" ht="66" hidden="0" customHeight="1">
      <x:c r="A47" s="12" t="str">
        <x:v>nominal_b10_equal50</x:v>
      </x:c>
      <x:c r="B47" s="12" t="n">
        <x:v>26.65</x:v>
      </x:c>
      <x:c r="C47" s="12" t="str">
        <x:v>aft</x:v>
      </x:c>
      <x:c r="D47" s="12" t="str">
        <x:v>day4_baseline</x:v>
      </x:c>
      <x:c r="E47" s="12" t="str">
        <x:v>equal_50_50</x:v>
      </x:c>
      <x:c r="F47" s="12" t="n">
        <x:v>0</x:v>
      </x:c>
      <x:c r="G47" s="12" t="n">
        <x:v>0.5</x:v>
      </x:c>
      <x:c r="H47" s="12" t="n">
        <x:v>0.5</x:v>
      </x:c>
      <x:c r="I47" s="12" t="n">
        <x:v>3</x:v>
      </x:c>
      <x:c r="J47" s="12" t="n">
        <x:v>0.05</x:v>
      </x:c>
      <x:c r="K47" s="12" t="n">
        <x:v>71900000</x:v>
      </x:c>
      <x:c r="L47" s="12" t="n">
        <x:v>63339955.434488736</x:v>
      </x:c>
      <x:c r="M47" s="12" t="n">
        <x:v>175708.31300813012</x:v>
      </x:c>
      <x:c r="N47" s="12" t="n">
        <x:v>16.366905212306065</x:v>
      </x:c>
      <x:c r="O47" s="12" t="n">
        <x:v>62</x:v>
      </x:c>
      <x:c r="P47" s="12" t="n">
        <x:v>10</x:v>
      </x:c>
      <x:c r="Q47" s="12" t="str">
        <x:v>Conservative design envelope: C=62 MPa from MAT-002 static shear strength and b=10</x:v>
      </x:c>
      <x:c r="R47" s="12" t="n">
        <x:v>41.16609210610587</x:v>
      </x:c>
      <x:c r="S47" s="12" t="str">
        <x:v>FAIL</x:v>
      </x:c>
      <x:c r="T47" s="12" t="n">
        <x:v>0.030514569039892667</x:v>
      </x:c>
      <x:c r="U47" s="12" t="n">
        <x:v>8.364871514404321e-16</x:v>
      </x:c>
      <x:c r="V47" s="12" t="str">
        <x:v>SOURCED_CURVE_PASS</x:v>
      </x:c>
    </x:row>
    <x:row r="48" ht="66" hidden="0" customHeight="1">
      <x:c r="A48" s="12" t="str">
        <x:v>nominal_b10_split0</x:v>
      </x:c>
      <x:c r="B48" s="12" t="n">
        <x:v>26.65</x:v>
      </x:c>
      <x:c r="C48" s="12" t="str">
        <x:v>forward</x:v>
      </x:c>
      <x:c r="D48" s="12" t="str">
        <x:v>fatigue_reinforced_legacy</x:v>
      </x:c>
      <x:c r="E48" s="12" t="str">
        <x:v>stiffness_based</x:v>
      </x:c>
      <x:c r="F48" s="12" t="n">
        <x:v>0</x:v>
      </x:c>
      <x:c r="G48" s="12" t="n">
        <x:v>0.5320740942072231</x:v>
      </x:c>
      <x:c r="H48" s="12" t="n">
        <x:v>0.5320740942072231</x:v>
      </x:c>
      <x:c r="I48" s="12" t="n">
        <x:v>5</x:v>
      </x:c>
      <x:c r="J48" s="12" t="n">
        <x:v>0.05</x:v>
      </x:c>
      <x:c r="K48" s="12" t="n">
        <x:v>119100000</x:v>
      </x:c>
      <x:c r="L48" s="12" t="n">
        <x:v>119304177.01548123</x:v>
      </x:c>
      <x:c r="M48" s="12" t="n">
        <x:v>175708.31300813012</x:v>
      </x:c>
      <x:c r="N48" s="12" t="n">
        <x:v>9.246785461844416</x:v>
      </x:c>
      <x:c r="O48" s="12" t="n">
        <x:v>62</x:v>
      </x:c>
      <x:c r="P48" s="12" t="n">
        <x:v>10</x:v>
      </x:c>
      <x:c r="Q48" s="12" t="str">
        <x:v>Conservative design envelope: C=62 MPa from MAT-002 static shear strength and b=10</x:v>
      </x:c>
      <x:c r="R48" s="12" t="n">
        <x:v>0.1363897659719125</x:v>
      </x:c>
      <x:c r="S48" s="12" t="str">
        <x:v>PASS</x:v>
      </x:c>
      <x:c r="T48" s="12" t="n">
        <x:v>0.01723976950513366</x:v>
      </x:c>
      <x:c r="U48" s="12" t="n">
        <x:v>8.451071635075158e-19</x:v>
      </x:c>
      <x:c r="V48" s="12" t="str">
        <x:v>SOURCED_CURVE_PASS</x:v>
      </x:c>
    </x:row>
    <x:row r="49" ht="66" hidden="0" customHeight="1">
      <x:c r="A49" s="12" t="str">
        <x:v>nominal_b10_split0</x:v>
      </x:c>
      <x:c r="B49" s="12" t="n">
        <x:v>26.65</x:v>
      </x:c>
      <x:c r="C49" s="12" t="str">
        <x:v>aft</x:v>
      </x:c>
      <x:c r="D49" s="12" t="str">
        <x:v>fatigue_reinforced_legacy</x:v>
      </x:c>
      <x:c r="E49" s="12" t="str">
        <x:v>stiffness_based</x:v>
      </x:c>
      <x:c r="F49" s="12" t="n">
        <x:v>0</x:v>
      </x:c>
      <x:c r="G49" s="12" t="n">
        <x:v>0.4679259057927769</x:v>
      </x:c>
      <x:c r="H49" s="12" t="n">
        <x:v>0.46792590579277693</x:v>
      </x:c>
      <x:c r="I49" s="12" t="n">
        <x:v>5</x:v>
      </x:c>
      <x:c r="J49" s="12" t="n">
        <x:v>0.05</x:v>
      </x:c>
      <x:c r="K49" s="12" t="n">
        <x:v>119100000</x:v>
      </x:c>
      <x:c r="L49" s="12" t="n">
        <x:v>104920565.95615588</x:v>
      </x:c>
      <x:c r="M49" s="12" t="n">
        <x:v>175708.31300813012</x:v>
      </x:c>
      <x:c r="N49" s="12" t="n">
        <x:v>9.246785461844418</x:v>
      </x:c>
      <x:c r="O49" s="12" t="n">
        <x:v>62</x:v>
      </x:c>
      <x:c r="P49" s="12" t="n">
        <x:v>10</x:v>
      </x:c>
      <x:c r="Q49" s="12" t="str">
        <x:v>Conservative design envelope: C=62 MPa from MAT-002 static shear strength and b=10</x:v>
      </x:c>
      <x:c r="R49" s="12" t="n">
        <x:v>0.13638976597191285</x:v>
      </x:c>
      <x:c r="S49" s="12" t="str">
        <x:v>PASS</x:v>
      </x:c>
      <x:c r="T49" s="12" t="n">
        <x:v>0.017239769505133663</x:v>
      </x:c>
      <x:c r="U49" s="12" t="n">
        <x:v>8.451071635075176e-19</x:v>
      </x:c>
      <x:c r="V49" s="12" t="str">
        <x:v>SOURCED_CURVE_PASS</x:v>
      </x:c>
    </x:row>
    <x:row r="50" ht="66" hidden="0" customHeight="1">
      <x:c r="A50" s="12" t="str">
        <x:v>nominal_b10_split0</x:v>
      </x:c>
      <x:c r="B50" s="12" t="n">
        <x:v>30.75</x:v>
      </x:c>
      <x:c r="C50" s="12" t="str">
        <x:v>forward</x:v>
      </x:c>
      <x:c r="D50" s="12" t="str">
        <x:v>day4_baseline</x:v>
      </x:c>
      <x:c r="E50" s="12" t="str">
        <x:v>stiffness_based</x:v>
      </x:c>
      <x:c r="F50" s="12" t="n">
        <x:v>0</x:v>
      </x:c>
      <x:c r="G50" s="12" t="n">
        <x:v>0.5342567596777879</x:v>
      </x:c>
      <x:c r="H50" s="12" t="n">
        <x:v>0.5342567596777879</x:v>
      </x:c>
      <x:c r="I50" s="12" t="n">
        <x:v>3</x:v>
      </x:c>
      <x:c r="J50" s="12" t="n">
        <x:v>0.05</x:v>
      </x:c>
      <x:c r="K50" s="12" t="n">
        <x:v>71900000</x:v>
      </x:c>
      <x:c r="L50" s="12" t="n">
        <x:v>67360712.69854055</x:v>
      </x:c>
      <x:c r="M50" s="12" t="n">
        <x:v>153544.90345528448</x:v>
      </x:c>
      <x:c r="N50" s="12" t="n">
        <x:v>14.37013225848291</x:v>
      </x:c>
      <x:c r="O50" s="12" t="n">
        <x:v>62</x:v>
      </x:c>
      <x:c r="P50" s="12" t="n">
        <x:v>10</x:v>
      </x:c>
      <x:c r="Q50" s="12" t="str">
        <x:v>Conservative design envelope: C=62 MPa from MAT-002 static shear strength and b=10</x:v>
      </x:c>
      <x:c r="R50" s="12" t="n">
        <x:v>11.206800007655225</x:v>
      </x:c>
      <x:c r="S50" s="12" t="str">
        <x:v>FAIL</x:v>
      </x:c>
      <x:c r="T50" s="12" t="n">
        <x:v>0.026791772007341015</x:v>
      </x:c>
      <x:c r="U50" s="12" t="n">
        <x:v>1.7372774670241417e-16</x:v>
      </x:c>
      <x:c r="V50" s="12" t="str">
        <x:v>SOURCED_CURVE_PASS</x:v>
      </x:c>
    </x:row>
    <x:row r="51" ht="66" hidden="0" customHeight="1">
      <x:c r="A51" s="12" t="str">
        <x:v>nominal_b10_split0</x:v>
      </x:c>
      <x:c r="B51" s="12" t="n">
        <x:v>30.75</x:v>
      </x:c>
      <x:c r="C51" s="12" t="str">
        <x:v>aft</x:v>
      </x:c>
      <x:c r="D51" s="12" t="str">
        <x:v>day4_baseline</x:v>
      </x:c>
      <x:c r="E51" s="12" t="str">
        <x:v>stiffness_based</x:v>
      </x:c>
      <x:c r="F51" s="12" t="n">
        <x:v>0</x:v>
      </x:c>
      <x:c r="G51" s="12" t="n">
        <x:v>0.46574324032221226</x:v>
      </x:c>
      <x:c r="H51" s="12" t="n">
        <x:v>0.46574324032221215</x:v>
      </x:c>
      <x:c r="I51" s="12" t="n">
        <x:v>3</x:v>
      </x:c>
      <x:c r="J51" s="12" t="n">
        <x:v>0.05</x:v>
      </x:c>
      <x:c r="K51" s="12" t="n">
        <x:v>71900000</x:v>
      </x:c>
      <x:c r="L51" s="12" t="n">
        <x:v>58722320.37186187</x:v>
      </x:c>
      <x:c r="M51" s="12" t="n">
        <x:v>153544.90345528448</x:v>
      </x:c>
      <x:c r="N51" s="12" t="n">
        <x:v>14.370132258482904</x:v>
      </x:c>
      <x:c r="O51" s="12" t="n">
        <x:v>62</x:v>
      </x:c>
      <x:c r="P51" s="12" t="n">
        <x:v>10</x:v>
      </x:c>
      <x:c r="Q51" s="12" t="str">
        <x:v>Conservative design envelope: C=62 MPa from MAT-002 static shear strength and b=10</x:v>
      </x:c>
      <x:c r="R51" s="12" t="n">
        <x:v>11.206800007655186</x:v>
      </x:c>
      <x:c r="S51" s="12" t="str">
        <x:v>FAIL</x:v>
      </x:c>
      <x:c r="T51" s="12" t="n">
        <x:v>0.026791772007341008</x:v>
      </x:c>
      <x:c r="U51" s="12" t="n">
        <x:v>1.7372774670241368e-16</x:v>
      </x:c>
      <x:c r="V51" s="12" t="str">
        <x:v>SOURCED_CURVE_PASS</x:v>
      </x:c>
    </x:row>
    <x:row r="52" ht="66" hidden="0" customHeight="1">
      <x:c r="A52" s="12" t="str">
        <x:v>nominal_b10_equal50</x:v>
      </x:c>
      <x:c r="B52" s="12" t="n">
        <x:v>30.75</x:v>
      </x:c>
      <x:c r="C52" s="12" t="str">
        <x:v>forward</x:v>
      </x:c>
      <x:c r="D52" s="12" t="str">
        <x:v>day4_baseline</x:v>
      </x:c>
      <x:c r="E52" s="12" t="str">
        <x:v>equal_50_50</x:v>
      </x:c>
      <x:c r="F52" s="12" t="n">
        <x:v>0</x:v>
      </x:c>
      <x:c r="G52" s="12" t="n">
        <x:v>0.5</x:v>
      </x:c>
      <x:c r="H52" s="12" t="n">
        <x:v>0.5</x:v>
      </x:c>
      <x:c r="I52" s="12" t="n">
        <x:v>3</x:v>
      </x:c>
      <x:c r="J52" s="12" t="n">
        <x:v>0.05</x:v>
      </x:c>
      <x:c r="K52" s="12" t="n">
        <x:v>71900000</x:v>
      </x:c>
      <x:c r="L52" s="12" t="n">
        <x:v>67360712.69854055</x:v>
      </x:c>
      <x:c r="M52" s="12" t="n">
        <x:v>153544.90345528448</x:v>
      </x:c>
      <x:c r="N52" s="12" t="n">
        <x:v>13.44871356157439</x:v>
      </x:c>
      <x:c r="O52" s="12" t="n">
        <x:v>62</x:v>
      </x:c>
      <x:c r="P52" s="12" t="n">
        <x:v>10</x:v>
      </x:c>
      <x:c r="Q52" s="12" t="str">
        <x:v>Conservative design envelope: C=62 MPa from MAT-002 static shear strength and b=10</x:v>
      </x:c>
      <x:c r="R52" s="12" t="n">
        <x:v>5.77672119336528</x:v>
      </x:c>
      <x:c r="S52" s="12" t="str">
        <x:v>FAIL</x:v>
      </x:c>
      <x:c r="T52" s="12" t="n">
        <x:v>0.025073872741918357</x:v>
      </x:c>
      <x:c r="U52" s="12" t="n">
        <x:v>7.802010451642229e-17</x:v>
      </x:c>
      <x:c r="V52" s="12" t="str">
        <x:v>SOURCED_CURVE_PASS</x:v>
      </x:c>
    </x:row>
    <x:row r="53" ht="66" hidden="0" customHeight="1">
      <x:c r="A53" s="12" t="str">
        <x:v>nominal_b10_equal50</x:v>
      </x:c>
      <x:c r="B53" s="12" t="n">
        <x:v>30.75</x:v>
      </x:c>
      <x:c r="C53" s="12" t="str">
        <x:v>aft</x:v>
      </x:c>
      <x:c r="D53" s="12" t="str">
        <x:v>day4_baseline</x:v>
      </x:c>
      <x:c r="E53" s="12" t="str">
        <x:v>equal_50_50</x:v>
      </x:c>
      <x:c r="F53" s="12" t="n">
        <x:v>0</x:v>
      </x:c>
      <x:c r="G53" s="12" t="n">
        <x:v>0.5</x:v>
      </x:c>
      <x:c r="H53" s="12" t="n">
        <x:v>0.5</x:v>
      </x:c>
      <x:c r="I53" s="12" t="n">
        <x:v>3</x:v>
      </x:c>
      <x:c r="J53" s="12" t="n">
        <x:v>0.05</x:v>
      </x:c>
      <x:c r="K53" s="12" t="n">
        <x:v>71900000</x:v>
      </x:c>
      <x:c r="L53" s="12" t="n">
        <x:v>58722320.37186187</x:v>
      </x:c>
      <x:c r="M53" s="12" t="n">
        <x:v>153544.90345528448</x:v>
      </x:c>
      <x:c r="N53" s="12" t="n">
        <x:v>15.427096964994389</x:v>
      </x:c>
      <x:c r="O53" s="12" t="n">
        <x:v>62</x:v>
      </x:c>
      <x:c r="P53" s="12" t="n">
        <x:v>10</x:v>
      </x:c>
      <x:c r="Q53" s="12" t="str">
        <x:v>Conservative design envelope: C=62 MPa from MAT-002 static shear strength and b=10</x:v>
      </x:c>
      <x:c r="R53" s="12" t="n">
        <x:v>22.788516878040866</x:v>
      </x:c>
      <x:c r="S53" s="12" t="str">
        <x:v>FAIL</x:v>
      </x:c>
      <x:c r="T53" s="12" t="n">
        <x:v>0.02876238417202344</x:v>
      </x:c>
      <x:c r="U53" s="12" t="n">
        <x:v>4.0946462710096226e-16</x:v>
      </x:c>
      <x:c r="V53" s="12" t="str">
        <x:v>SOURCED_CURVE_PASS</x:v>
      </x:c>
    </x:row>
    <x:row r="54" ht="66" hidden="0" customHeight="1">
      <x:c r="A54" s="12" t="str">
        <x:v>nominal_b10_split0</x:v>
      </x:c>
      <x:c r="B54" s="12" t="n">
        <x:v>30.75</x:v>
      </x:c>
      <x:c r="C54" s="12" t="str">
        <x:v>forward</x:v>
      </x:c>
      <x:c r="D54" s="12" t="str">
        <x:v>fatigue_reinforced_legacy</x:v>
      </x:c>
      <x:c r="E54" s="12" t="str">
        <x:v>stiffness_based</x:v>
      </x:c>
      <x:c r="F54" s="12" t="n">
        <x:v>0</x:v>
      </x:c>
      <x:c r="G54" s="12" t="n">
        <x:v>0.5342567596777877</x:v>
      </x:c>
      <x:c r="H54" s="12" t="n">
        <x:v>0.5342567596777877</x:v>
      </x:c>
      <x:c r="I54" s="12" t="n">
        <x:v>4</x:v>
      </x:c>
      <x:c r="J54" s="12" t="n">
        <x:v>0.05</x:v>
      </x:c>
      <x:c r="K54" s="12" t="n">
        <x:v>95500000</x:v>
      </x:c>
      <x:c r="L54" s="12" t="n">
        <x:v>89470765.82351352</x:v>
      </x:c>
      <x:c r="M54" s="12" t="n">
        <x:v>153544.90345528448</x:v>
      </x:c>
      <x:c r="N54" s="12" t="n">
        <x:v>10.818979155863047</x:v>
      </x:c>
      <x:c r="O54" s="12" t="n">
        <x:v>62</x:v>
      </x:c>
      <x:c r="P54" s="12" t="n">
        <x:v>10</x:v>
      </x:c>
      <x:c r="Q54" s="12" t="str">
        <x:v>Conservative design envelope: C=62 MPa from MAT-002 static shear strength and b=10</x:v>
      </x:c>
      <x:c r="R54" s="12" t="n">
        <x:v>0.6557477509406644</x:v>
      </x:c>
      <x:c r="S54" s="12" t="str">
        <x:v>PASS</x:v>
      </x:c>
      <x:c r="T54" s="12" t="n">
        <x:v>0.020170978087202293</x:v>
      </x:c>
      <x:c r="U54" s="12" t="n">
        <x:v>5.632658921248456e-18</x:v>
      </x:c>
      <x:c r="V54" s="12" t="str">
        <x:v>SOURCED_CURVE_PASS</x:v>
      </x:c>
    </x:row>
    <x:row r="55" ht="66" hidden="0" customHeight="1">
      <x:c r="A55" s="12" t="str">
        <x:v>nominal_b10_split0</x:v>
      </x:c>
      <x:c r="B55" s="12" t="n">
        <x:v>30.75</x:v>
      </x:c>
      <x:c r="C55" s="12" t="str">
        <x:v>aft</x:v>
      </x:c>
      <x:c r="D55" s="12" t="str">
        <x:v>fatigue_reinforced_legacy</x:v>
      </x:c>
      <x:c r="E55" s="12" t="str">
        <x:v>stiffness_based</x:v>
      </x:c>
      <x:c r="F55" s="12" t="n">
        <x:v>0</x:v>
      </x:c>
      <x:c r="G55" s="12" t="n">
        <x:v>0.46574324032221226</x:v>
      </x:c>
      <x:c r="H55" s="12" t="n">
        <x:v>0.46574324032221226</x:v>
      </x:c>
      <x:c r="I55" s="12" t="n">
        <x:v>4</x:v>
      </x:c>
      <x:c r="J55" s="12" t="n">
        <x:v>0.05</x:v>
      </x:c>
      <x:c r="K55" s="12" t="n">
        <x:v>95500000</x:v>
      </x:c>
      <x:c r="L55" s="12" t="n">
        <x:v>77996962.38543545</x:v>
      </x:c>
      <x:c r="M55" s="12" t="n">
        <x:v>153544.90345528448</x:v>
      </x:c>
      <x:c r="N55" s="12" t="n">
        <x:v>10.818979155863047</x:v>
      </x:c>
      <x:c r="O55" s="12" t="n">
        <x:v>62</x:v>
      </x:c>
      <x:c r="P55" s="12" t="n">
        <x:v>10</x:v>
      </x:c>
      <x:c r="Q55" s="12" t="str">
        <x:v>Conservative design envelope: C=62 MPa from MAT-002 static shear strength and b=10</x:v>
      </x:c>
      <x:c r="R55" s="12" t="n">
        <x:v>0.6557477509406644</x:v>
      </x:c>
      <x:c r="S55" s="12" t="str">
        <x:v>PASS</x:v>
      </x:c>
      <x:c r="T55" s="12" t="n">
        <x:v>0.020170978087202293</x:v>
      </x:c>
      <x:c r="U55" s="12" t="n">
        <x:v>5.632658921248456e-18</x:v>
      </x:c>
      <x:c r="V55" s="12" t="str">
        <x:v>SOURCED_CURVE_PASS</x:v>
      </x:c>
    </x:row>
    <x:row r="56" ht="66" hidden="0" customHeight="1">
      <x:c r="A56" s="12" t="str">
        <x:v>nominal_b10_split0</x:v>
      </x:c>
      <x:c r="B56" s="12" t="n">
        <x:v>34.85</x:v>
      </x:c>
      <x:c r="C56" s="12" t="str">
        <x:v>forward</x:v>
      </x:c>
      <x:c r="D56" s="12" t="str">
        <x:v>day4_baseline</x:v>
      </x:c>
      <x:c r="E56" s="12" t="str">
        <x:v>stiffness_based</x:v>
      </x:c>
      <x:c r="F56" s="12" t="n">
        <x:v>0</x:v>
      </x:c>
      <x:c r="G56" s="12" t="n">
        <x:v>0.5286501460047514</x:v>
      </x:c>
      <x:c r="H56" s="12" t="n">
        <x:v>0.5286501460047514</x:v>
      </x:c>
      <x:c r="I56" s="12" t="n">
        <x:v>3</x:v>
      </x:c>
      <x:c r="J56" s="12" t="n">
        <x:v>0.05</x:v>
      </x:c>
      <x:c r="K56" s="12" t="n">
        <x:v>71900000</x:v>
      </x:c>
      <x:c r="L56" s="12" t="n">
        <x:v>52720700.09062069</x:v>
      </x:c>
      <x:c r="M56" s="12" t="n">
        <x:v>128849.80182926828</x:v>
      </x:c>
      <x:c r="N56" s="12" t="n">
        <x:v>15.245895898673059</x:v>
      </x:c>
      <x:c r="O56" s="12" t="n">
        <x:v>62</x:v>
      </x:c>
      <x:c r="P56" s="12" t="n">
        <x:v>10</x:v>
      </x:c>
      <x:c r="Q56" s="12" t="str">
        <x:v>Conservative design envelope: C=62 MPa from MAT-002 static shear strength and b=10</x:v>
      </x:c>
      <x:c r="R56" s="12" t="n">
        <x:v>20.248994815043044</x:v>
      </x:c>
      <x:c r="S56" s="12" t="str">
        <x:v>FAIL</x:v>
      </x:c>
      <x:c r="T56" s="12" t="n">
        <x:v>0.028424551675492144</x:v>
      </x:c>
      <x:c r="U56" s="12" t="n">
        <x:v>3.550019825757509e-16</x:v>
      </x:c>
      <x:c r="V56" s="12" t="str">
        <x:v>SOURCED_CURVE_PASS</x:v>
      </x:c>
    </x:row>
    <x:row r="57" ht="66" hidden="0" customHeight="1">
      <x:c r="A57" s="12" t="str">
        <x:v>nominal_b10_split0</x:v>
      </x:c>
      <x:c r="B57" s="12" t="n">
        <x:v>34.85</x:v>
      </x:c>
      <x:c r="C57" s="12" t="str">
        <x:v>aft</x:v>
      </x:c>
      <x:c r="D57" s="12" t="str">
        <x:v>day4_baseline</x:v>
      </x:c>
      <x:c r="E57" s="12" t="str">
        <x:v>stiffness_based</x:v>
      </x:c>
      <x:c r="F57" s="12" t="n">
        <x:v>0</x:v>
      </x:c>
      <x:c r="G57" s="12" t="n">
        <x:v>0.4713498539952486</x:v>
      </x:c>
      <x:c r="H57" s="12" t="n">
        <x:v>0.47134985399524865</x:v>
      </x:c>
      <x:c r="I57" s="12" t="n">
        <x:v>3</x:v>
      </x:c>
      <x:c r="J57" s="12" t="n">
        <x:v>0.05</x:v>
      </x:c>
      <x:c r="K57" s="12" t="n">
        <x:v>71900000</x:v>
      </x:c>
      <x:c r="L57" s="12" t="n">
        <x:v>47006313.11282757</x:v>
      </x:c>
      <x:c r="M57" s="12" t="n">
        <x:v>128849.80182926828</x:v>
      </x:c>
      <x:c r="N57" s="12" t="n">
        <x:v>15.245895898673059</x:v>
      </x:c>
      <x:c r="O57" s="12" t="n">
        <x:v>62</x:v>
      </x:c>
      <x:c r="P57" s="12" t="n">
        <x:v>10</x:v>
      </x:c>
      <x:c r="Q57" s="12" t="str">
        <x:v>Conservative design envelope: C=62 MPa from MAT-002 static shear strength and b=10</x:v>
      </x:c>
      <x:c r="R57" s="12" t="n">
        <x:v>20.248994815043044</x:v>
      </x:c>
      <x:c r="S57" s="12" t="str">
        <x:v>FAIL</x:v>
      </x:c>
      <x:c r="T57" s="12" t="n">
        <x:v>0.028424551675492144</x:v>
      </x:c>
      <x:c r="U57" s="12" t="n">
        <x:v>3.550019825757509e-16</x:v>
      </x:c>
      <x:c r="V57" s="12" t="str">
        <x:v>SOURCED_CURVE_PASS</x:v>
      </x:c>
    </x:row>
    <x:row r="58" ht="66" hidden="0" customHeight="1">
      <x:c r="A58" s="12" t="str">
        <x:v>nominal_b10_equal50</x:v>
      </x:c>
      <x:c r="B58" s="12" t="n">
        <x:v>34.85</x:v>
      </x:c>
      <x:c r="C58" s="12" t="str">
        <x:v>forward</x:v>
      </x:c>
      <x:c r="D58" s="12" t="str">
        <x:v>day4_baseline</x:v>
      </x:c>
      <x:c r="E58" s="12" t="str">
        <x:v>equal_50_50</x:v>
      </x:c>
      <x:c r="F58" s="12" t="n">
        <x:v>0</x:v>
      </x:c>
      <x:c r="G58" s="12" t="n">
        <x:v>0.5</x:v>
      </x:c>
      <x:c r="H58" s="12" t="n">
        <x:v>0.5</x:v>
      </x:c>
      <x:c r="I58" s="12" t="n">
        <x:v>3</x:v>
      </x:c>
      <x:c r="J58" s="12" t="n">
        <x:v>0.05</x:v>
      </x:c>
      <x:c r="K58" s="12" t="n">
        <x:v>71900000</x:v>
      </x:c>
      <x:c r="L58" s="12" t="n">
        <x:v>52720700.09062069</x:v>
      </x:c>
      <x:c r="M58" s="12" t="n">
        <x:v>128849.80182926828</x:v>
      </x:c>
      <x:c r="N58" s="12" t="n">
        <x:v>14.41964597370605</x:v>
      </x:c>
      <x:c r="O58" s="12" t="n">
        <x:v>62</x:v>
      </x:c>
      <x:c r="P58" s="12" t="n">
        <x:v>10</x:v>
      </x:c>
      <x:c r="Q58" s="12" t="str">
        <x:v>Conservative design envelope: C=62 MPa from MAT-002 static shear strength and b=10</x:v>
      </x:c>
      <x:c r="R58" s="12" t="n">
        <x:v>11.598983954567991</x:v>
      </x:c>
      <x:c r="S58" s="12" t="str">
        <x:v>FAIL</x:v>
      </x:c>
      <x:c r="T58" s="12" t="n">
        <x:v>0.026884085713689245</x:v>
      </x:c>
      <x:c r="U58" s="12" t="n">
        <x:v>1.8109842965432866e-16</x:v>
      </x:c>
      <x:c r="V58" s="12" t="str">
        <x:v>SOURCED_CURVE_PASS</x:v>
      </x:c>
    </x:row>
    <x:row r="59" ht="66" hidden="0" customHeight="1">
      <x:c r="A59" s="12" t="str">
        <x:v>nominal_b10_equal50</x:v>
      </x:c>
      <x:c r="B59" s="12" t="n">
        <x:v>34.85</x:v>
      </x:c>
      <x:c r="C59" s="12" t="str">
        <x:v>aft</x:v>
      </x:c>
      <x:c r="D59" s="12" t="str">
        <x:v>day4_baseline</x:v>
      </x:c>
      <x:c r="E59" s="12" t="str">
        <x:v>equal_50_50</x:v>
      </x:c>
      <x:c r="F59" s="12" t="n">
        <x:v>0</x:v>
      </x:c>
      <x:c r="G59" s="12" t="n">
        <x:v>0.5</x:v>
      </x:c>
      <x:c r="H59" s="12" t="n">
        <x:v>0.5</x:v>
      </x:c>
      <x:c r="I59" s="12" t="n">
        <x:v>3</x:v>
      </x:c>
      <x:c r="J59" s="12" t="n">
        <x:v>0.05</x:v>
      </x:c>
      <x:c r="K59" s="12" t="n">
        <x:v>71900000</x:v>
      </x:c>
      <x:c r="L59" s="12" t="n">
        <x:v>47006313.11282757</x:v>
      </x:c>
      <x:c r="M59" s="12" t="n">
        <x:v>128849.80182926828</x:v>
      </x:c>
      <x:c r="N59" s="12" t="n">
        <x:v>16.172590029938505</x:v>
      </x:c>
      <x:c r="O59" s="12" t="n">
        <x:v>62</x:v>
      </x:c>
      <x:c r="P59" s="12" t="n">
        <x:v>10</x:v>
      </x:c>
      <x:c r="Q59" s="12" t="str">
        <x:v>Conservative design envelope: C=62 MPa from MAT-002 static shear strength and b=10</x:v>
      </x:c>
      <x:c r="R59" s="12" t="n">
        <x:v>36.531688314518334</x:v>
      </x:c>
      <x:c r="S59" s="12" t="str">
        <x:v>FAIL</x:v>
      </x:c>
      <x:c r="T59" s="12" t="n">
        <x:v>0.030152286496495522</x:v>
      </x:c>
      <x:c r="U59" s="12" t="n">
        <x:v>7.241031520703749e-16</x:v>
      </x:c>
      <x:c r="V59" s="12" t="str">
        <x:v>SOURCED_CURVE_PASS</x:v>
      </x:c>
    </x:row>
    <x:row r="60" ht="66" hidden="0" customHeight="1">
      <x:c r="A60" s="12" t="str">
        <x:v>nominal_b10_split0</x:v>
      </x:c>
      <x:c r="B60" s="12" t="n">
        <x:v>34.85</x:v>
      </x:c>
      <x:c r="C60" s="12" t="str">
        <x:v>forward</x:v>
      </x:c>
      <x:c r="D60" s="12" t="str">
        <x:v>fatigue_reinforced_legacy</x:v>
      </x:c>
      <x:c r="E60" s="12" t="str">
        <x:v>stiffness_based</x:v>
      </x:c>
      <x:c r="F60" s="12" t="n">
        <x:v>0</x:v>
      </x:c>
      <x:c r="G60" s="12" t="n">
        <x:v>0.5286501460047515</x:v>
      </x:c>
      <x:c r="H60" s="12" t="n">
        <x:v>0.5286501460047515</x:v>
      </x:c>
      <x:c r="I60" s="12" t="n">
        <x:v>5</x:v>
      </x:c>
      <x:c r="J60" s="12" t="n">
        <x:v>0.05</x:v>
      </x:c>
      <x:c r="K60" s="12" t="n">
        <x:v>119100000</x:v>
      </x:c>
      <x:c r="L60" s="12" t="n">
        <x:v>87330116.5617931</x:v>
      </x:c>
      <x:c r="M60" s="12" t="n">
        <x:v>128849.80182926828</x:v>
      </x:c>
      <x:c r="N60" s="12" t="n">
        <x:v>9.203861587863923</x:v>
      </x:c>
      <x:c r="O60" s="12" t="n">
        <x:v>62</x:v>
      </x:c>
      <x:c r="P60" s="12" t="n">
        <x:v>10</x:v>
      </x:c>
      <x:c r="Q60" s="12" t="str">
        <x:v>Conservative design envelope: C=62 MPa from MAT-002 static shear strength and b=10</x:v>
      </x:c>
      <x:c r="R60" s="12" t="n">
        <x:v>0.1301891400051297</x:v>
      </x:c>
      <x:c r="S60" s="12" t="str">
        <x:v>PASS</x:v>
      </x:c>
      <x:c r="T60" s="12" t="n">
        <x:v>0.01715974194347511</x:v>
      </x:c>
      <x:c r="U60" s="12" t="n">
        <x:v>7.989170607976077e-19</x:v>
      </x:c>
      <x:c r="V60" s="12" t="str">
        <x:v>SOURCED_CURVE_PASS</x:v>
      </x:c>
    </x:row>
    <x:row r="61" ht="66" hidden="0" customHeight="1">
      <x:c r="A61" s="12" t="str">
        <x:v>nominal_b10_split0</x:v>
      </x:c>
      <x:c r="B61" s="12" t="n">
        <x:v>34.85</x:v>
      </x:c>
      <x:c r="C61" s="12" t="str">
        <x:v>aft</x:v>
      </x:c>
      <x:c r="D61" s="12" t="str">
        <x:v>fatigue_reinforced_legacy</x:v>
      </x:c>
      <x:c r="E61" s="12" t="str">
        <x:v>stiffness_based</x:v>
      </x:c>
      <x:c r="F61" s="12" t="n">
        <x:v>0</x:v>
      </x:c>
      <x:c r="G61" s="12" t="n">
        <x:v>0.47134985399524865</x:v>
      </x:c>
      <x:c r="H61" s="12" t="n">
        <x:v>0.47134985399524854</x:v>
      </x:c>
      <x:c r="I61" s="12" t="n">
        <x:v>5</x:v>
      </x:c>
      <x:c r="J61" s="12" t="n">
        <x:v>0.05</x:v>
      </x:c>
      <x:c r="K61" s="12" t="n">
        <x:v>119100000</x:v>
      </x:c>
      <x:c r="L61" s="12" t="n">
        <x:v>77864421.30372411</x:v>
      </x:c>
      <x:c r="M61" s="12" t="n">
        <x:v>128849.80182926828</x:v>
      </x:c>
      <x:c r="N61" s="12" t="n">
        <x:v>9.203861587863917</x:v>
      </x:c>
      <x:c r="O61" s="12" t="n">
        <x:v>62</x:v>
      </x:c>
      <x:c r="P61" s="12" t="n">
        <x:v>10</x:v>
      </x:c>
      <x:c r="Q61" s="12" t="str">
        <x:v>Conservative design envelope: C=62 MPa from MAT-002 static shear strength and b=10</x:v>
      </x:c>
      <x:c r="R61" s="12" t="n">
        <x:v>0.130189140005129</x:v>
      </x:c>
      <x:c r="S61" s="12" t="str">
        <x:v>PASS</x:v>
      </x:c>
      <x:c r="T61" s="12" t="n">
        <x:v>0.0171597419434751</x:v>
      </x:c>
      <x:c r="U61" s="12" t="n">
        <x:v>7.989170607976027e-19</x:v>
      </x:c>
      <x:c r="V61" s="12" t="str">
        <x:v>SOURCED_CURVE_PASS</x:v>
      </x:c>
    </x:row>
    <x:row r="62" ht="66" hidden="0" customHeight="1">
      <x:c r="A62" s="12" t="str">
        <x:v>nominal_b10_split0</x:v>
      </x:c>
      <x:c r="B62" s="12" t="n">
        <x:v>38.95</x:v>
      </x:c>
      <x:c r="C62" s="12" t="str">
        <x:v>forward</x:v>
      </x:c>
      <x:c r="D62" s="12" t="str">
        <x:v>day4_baseline</x:v>
      </x:c>
      <x:c r="E62" s="12" t="str">
        <x:v>stiffness_based</x:v>
      </x:c>
      <x:c r="F62" s="12" t="n">
        <x:v>0</x:v>
      </x:c>
      <x:c r="G62" s="12" t="n">
        <x:v>0.5308702586539661</x:v>
      </x:c>
      <x:c r="H62" s="12" t="n">
        <x:v>0.5308702586539661</x:v>
      </x:c>
      <x:c r="I62" s="12" t="n">
        <x:v>3</x:v>
      </x:c>
      <x:c r="J62" s="12" t="n">
        <x:v>0.05</x:v>
      </x:c>
      <x:c r="K62" s="12" t="n">
        <x:v>71900000</x:v>
      </x:c>
      <x:c r="L62" s="12" t="n">
        <x:v>48925750.23513043</x:v>
      </x:c>
      <x:c r="M62" s="12" t="n">
        <x:v>109449.0457317073</x:v>
      </x:c>
      <x:c r="N62" s="12" t="n">
        <x:v>14.013444181558041</x:v>
      </x:c>
      <x:c r="O62" s="12" t="n">
        <x:v>62</x:v>
      </x:c>
      <x:c r="P62" s="12" t="n">
        <x:v>10</x:v>
      </x:c>
      <x:c r="Q62" s="12" t="str">
        <x:v>Conservative design envelope: C=62 MPa from MAT-002 static shear strength and b=10</x:v>
      </x:c>
      <x:c r="R62" s="12" t="n">
        <x:v>8.716112935545896</x:v>
      </x:c>
      <x:c r="S62" s="12" t="str">
        <x:v>FAIL</x:v>
      </x:c>
      <x:c r="T62" s="12" t="n">
        <x:v>0.026126760338498044</x:v>
      </x:c>
      <x:c r="U62" s="12" t="n">
        <x:v>1.2823464948939483e-16</x:v>
      </x:c>
      <x:c r="V62" s="12" t="str">
        <x:v>SOURCED_CURVE_PASS</x:v>
      </x:c>
    </x:row>
    <x:row r="63" ht="66" hidden="0" customHeight="1">
      <x:c r="A63" s="12" t="str">
        <x:v>nominal_b10_split0</x:v>
      </x:c>
      <x:c r="B63" s="12" t="n">
        <x:v>38.95</x:v>
      </x:c>
      <x:c r="C63" s="12" t="str">
        <x:v>aft</x:v>
      </x:c>
      <x:c r="D63" s="12" t="str">
        <x:v>day4_baseline</x:v>
      </x:c>
      <x:c r="E63" s="12" t="str">
        <x:v>stiffness_based</x:v>
      </x:c>
      <x:c r="F63" s="12" t="n">
        <x:v>0</x:v>
      </x:c>
      <x:c r="G63" s="12" t="n">
        <x:v>0.4691297413460339</x:v>
      </x:c>
      <x:c r="H63" s="12" t="n">
        <x:v>0.4691297413460339</x:v>
      </x:c>
      <x:c r="I63" s="12" t="n">
        <x:v>3</x:v>
      </x:c>
      <x:c r="J63" s="12" t="n">
        <x:v>0.05</x:v>
      </x:c>
      <x:c r="K63" s="12" t="n">
        <x:v>71900000</x:v>
      </x:c>
      <x:c r="L63" s="12" t="n">
        <x:v>43235657.260521725</x:v>
      </x:c>
      <x:c r="M63" s="12" t="n">
        <x:v>109449.0457317073</x:v>
      </x:c>
      <x:c r="N63" s="12" t="n">
        <x:v>14.013444181558041</x:v>
      </x:c>
      <x:c r="O63" s="12" t="n">
        <x:v>62</x:v>
      </x:c>
      <x:c r="P63" s="12" t="n">
        <x:v>10</x:v>
      </x:c>
      <x:c r="Q63" s="12" t="str">
        <x:v>Conservative design envelope: C=62 MPa from MAT-002 static shear strength and b=10</x:v>
      </x:c>
      <x:c r="R63" s="12" t="n">
        <x:v>8.716112935545896</x:v>
      </x:c>
      <x:c r="S63" s="12" t="str">
        <x:v>FAIL</x:v>
      </x:c>
      <x:c r="T63" s="12" t="n">
        <x:v>0.026126760338498044</x:v>
      </x:c>
      <x:c r="U63" s="12" t="n">
        <x:v>1.2823464948939483e-16</x:v>
      </x:c>
      <x:c r="V63" s="12" t="str">
        <x:v>SOURCED_CURVE_PASS</x:v>
      </x:c>
    </x:row>
    <x:row r="64" ht="66" hidden="0" customHeight="1">
      <x:c r="A64" s="12" t="str">
        <x:v>nominal_b10_equal50</x:v>
      </x:c>
      <x:c r="B64" s="12" t="n">
        <x:v>38.95</x:v>
      </x:c>
      <x:c r="C64" s="12" t="str">
        <x:v>forward</x:v>
      </x:c>
      <x:c r="D64" s="12" t="str">
        <x:v>day4_baseline</x:v>
      </x:c>
      <x:c r="E64" s="12" t="str">
        <x:v>equal_50_50</x:v>
      </x:c>
      <x:c r="F64" s="12" t="n">
        <x:v>0</x:v>
      </x:c>
      <x:c r="G64" s="12" t="n">
        <x:v>0.5</x:v>
      </x:c>
      <x:c r="H64" s="12" t="n">
        <x:v>0.5</x:v>
      </x:c>
      <x:c r="I64" s="12" t="n">
        <x:v>3</x:v>
      </x:c>
      <x:c r="J64" s="12" t="n">
        <x:v>0.05</x:v>
      </x:c>
      <x:c r="K64" s="12" t="n">
        <x:v>71900000</x:v>
      </x:c>
      <x:c r="L64" s="12" t="n">
        <x:v>48925750.23513043</x:v>
      </x:c>
      <x:c r="M64" s="12" t="n">
        <x:v>109449.0457317073</x:v>
      </x:c>
      <x:c r="N64" s="12" t="n">
        <x:v>13.198558360652425</x:v>
      </x:c>
      <x:c r="O64" s="12" t="n">
        <x:v>62</x:v>
      </x:c>
      <x:c r="P64" s="12" t="n">
        <x:v>10</x:v>
      </x:c>
      <x:c r="Q64" s="12" t="str">
        <x:v>Conservative design envelope: C=62 MPa from MAT-002 static shear strength and b=10</x:v>
      </x:c>
      <x:c r="R64" s="12" t="n">
        <x:v>4.787832407453994</x:v>
      </x:c>
      <x:c r="S64" s="12" t="str">
        <x:v>FAIL</x:v>
      </x:c>
      <x:c r="T64" s="12" t="n">
        <x:v>0.024607481689351982</x:v>
      </x:c>
      <x:c r="U64" s="12" t="n">
        <x:v>6.218751849428084e-17</x:v>
      </x:c>
      <x:c r="V64" s="12" t="str">
        <x:v>SOURCED_CURVE_PASS</x:v>
      </x:c>
    </x:row>
    <x:row r="65" ht="66" hidden="0" customHeight="1">
      <x:c r="A65" s="12" t="str">
        <x:v>nominal_b10_equal50</x:v>
      </x:c>
      <x:c r="B65" s="12" t="n">
        <x:v>38.95</x:v>
      </x:c>
      <x:c r="C65" s="12" t="str">
        <x:v>aft</x:v>
      </x:c>
      <x:c r="D65" s="12" t="str">
        <x:v>day4_baseline</x:v>
      </x:c>
      <x:c r="E65" s="12" t="str">
        <x:v>equal_50_50</x:v>
      </x:c>
      <x:c r="F65" s="12" t="n">
        <x:v>0</x:v>
      </x:c>
      <x:c r="G65" s="12" t="n">
        <x:v>0.5</x:v>
      </x:c>
      <x:c r="H65" s="12" t="n">
        <x:v>0.5</x:v>
      </x:c>
      <x:c r="I65" s="12" t="n">
        <x:v>3</x:v>
      </x:c>
      <x:c r="J65" s="12" t="n">
        <x:v>0.05</x:v>
      </x:c>
      <x:c r="K65" s="12" t="n">
        <x:v>71900000</x:v>
      </x:c>
      <x:c r="L65" s="12" t="n">
        <x:v>43235657.260521725</x:v>
      </x:c>
      <x:c r="M65" s="12" t="n">
        <x:v>109449.0457317073</x:v>
      </x:c>
      <x:c r="N65" s="12" t="n">
        <x:v>14.93557426283661</x:v>
      </x:c>
      <x:c r="O65" s="12" t="n">
        <x:v>62</x:v>
      </x:c>
      <x:c r="P65" s="12" t="n">
        <x:v>10</x:v>
      </x:c>
      <x:c r="Q65" s="12" t="str">
        <x:v>Conservative design envelope: C=62 MPa from MAT-002 static shear strength and b=10</x:v>
      </x:c>
      <x:c r="R65" s="12" t="n">
        <x:v>16.485162214223507</x:v>
      </x:c>
      <x:c r="S65" s="12" t="str">
        <x:v>FAIL</x:v>
      </x:c>
      <x:c r="T65" s="12" t="n">
        <x:v>0.027845985913763173</x:v>
      </x:c>
      <x:c r="U65" s="12" t="n">
        <x:v>2.7691342004611294e-16</x:v>
      </x:c>
      <x:c r="V65" s="12" t="str">
        <x:v>SOURCED_CURVE_PASS</x:v>
      </x:c>
    </x:row>
    <x:row r="66" ht="66" hidden="0" customHeight="1">
      <x:c r="A66" s="12" t="str">
        <x:v>nominal_b10_split0</x:v>
      </x:c>
      <x:c r="B66" s="12" t="n">
        <x:v>38.95</x:v>
      </x:c>
      <x:c r="C66" s="12" t="str">
        <x:v>forward</x:v>
      </x:c>
      <x:c r="D66" s="12" t="str">
        <x:v>fatigue_reinforced_legacy</x:v>
      </x:c>
      <x:c r="E66" s="12" t="str">
        <x:v>stiffness_based</x:v>
      </x:c>
      <x:c r="F66" s="12" t="n">
        <x:v>0</x:v>
      </x:c>
      <x:c r="G66" s="12" t="n">
        <x:v>0.5308702586539661</x:v>
      </x:c>
      <x:c r="H66" s="12" t="n">
        <x:v>0.5308702586539661</x:v>
      </x:c>
      <x:c r="I66" s="12" t="n">
        <x:v>4</x:v>
      </x:c>
      <x:c r="J66" s="12" t="n">
        <x:v>0.05</x:v>
      </x:c>
      <x:c r="K66" s="12" t="n">
        <x:v>95500000</x:v>
      </x:c>
      <x:c r="L66" s="12" t="n">
        <x:v>64984828.19826086</x:v>
      </x:c>
      <x:c r="M66" s="12" t="n">
        <x:v>109449.0457317073</x:v>
      </x:c>
      <x:c r="N66" s="12" t="n">
        <x:v>10.550435985906</x:v>
      </x:c>
      <x:c r="O66" s="12" t="n">
        <x:v>62</x:v>
      </x:c>
      <x:c r="P66" s="12" t="n">
        <x:v>10</x:v>
      </x:c>
      <x:c r="Q66" s="12" t="str">
        <x:v>Conservative design envelope: C=62 MPa from MAT-002 static shear strength and b=10</x:v>
      </x:c>
      <x:c r="R66" s="12" t="n">
        <x:v>0.5100092310494357</x:v>
      </x:c>
      <x:c r="S66" s="12" t="str">
        <x:v>PASS</x:v>
      </x:c>
      <x:c r="T66" s="12" t="n">
        <x:v>0.019670304380502716</x:v>
      </x:c>
      <x:c r="U66" s="12" t="n">
        <x:v>4.157666556838914e-18</x:v>
      </x:c>
      <x:c r="V66" s="12" t="str">
        <x:v>SOURCED_CURVE_PASS</x:v>
      </x:c>
    </x:row>
    <x:row r="67" ht="66" hidden="0" customHeight="1">
      <x:c r="A67" s="12" t="str">
        <x:v>nominal_b10_split0</x:v>
      </x:c>
      <x:c r="B67" s="12" t="n">
        <x:v>38.95</x:v>
      </x:c>
      <x:c r="C67" s="12" t="str">
        <x:v>aft</x:v>
      </x:c>
      <x:c r="D67" s="12" t="str">
        <x:v>fatigue_reinforced_legacy</x:v>
      </x:c>
      <x:c r="E67" s="12" t="str">
        <x:v>stiffness_based</x:v>
      </x:c>
      <x:c r="F67" s="12" t="n">
        <x:v>0</x:v>
      </x:c>
      <x:c r="G67" s="12" t="n">
        <x:v>0.4691297413460339</x:v>
      </x:c>
      <x:c r="H67" s="12" t="n">
        <x:v>0.4691297413460339</x:v>
      </x:c>
      <x:c r="I67" s="12" t="n">
        <x:v>4</x:v>
      </x:c>
      <x:c r="J67" s="12" t="n">
        <x:v>0.05</x:v>
      </x:c>
      <x:c r="K67" s="12" t="n">
        <x:v>95500000</x:v>
      </x:c>
      <x:c r="L67" s="12" t="n">
        <x:v>57427055.193043455</x:v>
      </x:c>
      <x:c r="M67" s="12" t="n">
        <x:v>109449.0457317073</x:v>
      </x:c>
      <x:c r="N67" s="12" t="n">
        <x:v>10.550435985906</x:v>
      </x:c>
      <x:c r="O67" s="12" t="n">
        <x:v>62</x:v>
      </x:c>
      <x:c r="P67" s="12" t="n">
        <x:v>10</x:v>
      </x:c>
      <x:c r="Q67" s="12" t="str">
        <x:v>Conservative design envelope: C=62 MPa from MAT-002 static shear strength and b=10</x:v>
      </x:c>
      <x:c r="R67" s="12" t="n">
        <x:v>0.5100092310494357</x:v>
      </x:c>
      <x:c r="S67" s="12" t="str">
        <x:v>PASS</x:v>
      </x:c>
      <x:c r="T67" s="12" t="n">
        <x:v>0.019670304380502716</x:v>
      </x:c>
      <x:c r="U67" s="12" t="n">
        <x:v>4.157666556838914e-18</x:v>
      </x:c>
      <x:c r="V67" s="12" t="str">
        <x:v>SOURCED_CURVE_PASS</x:v>
      </x:c>
    </x:row>
    <x:row r="68" ht="66" hidden="0" customHeight="1">
      <x:c r="A68" s="12" t="str">
        <x:v>nominal_b10_split0</x:v>
      </x:c>
      <x:c r="B68" s="12" t="n">
        <x:v>43.05</x:v>
      </x:c>
      <x:c r="C68" s="12" t="str">
        <x:v>forward</x:v>
      </x:c>
      <x:c r="D68" s="12" t="str">
        <x:v>day4_baseline</x:v>
      </x:c>
      <x:c r="E68" s="12" t="str">
        <x:v>stiffness_based</x:v>
      </x:c>
      <x:c r="F68" s="12" t="n">
        <x:v>0</x:v>
      </x:c>
      <x:c r="G68" s="12" t="n">
        <x:v>0.5198969753892587</x:v>
      </x:c>
      <x:c r="H68" s="12" t="n">
        <x:v>0.5198969753892587</x:v>
      </x:c>
      <x:c r="I68" s="12" t="n">
        <x:v>2</x:v>
      </x:c>
      <x:c r="J68" s="12" t="n">
        <x:v>0.05</x:v>
      </x:c>
      <x:c r="K68" s="12" t="n">
        <x:v>48300000</x:v>
      </x:c>
      <x:c r="L68" s="12" t="n">
        <x:v>25549018.676999997</x:v>
      </x:c>
      <x:c r="M68" s="12" t="n">
        <x:v>89133.32723577239</x:v>
      </x:c>
      <x:c r="N68" s="12" t="n">
        <x:v>21.40253386248904</x:v>
      </x:c>
      <x:c r="O68" s="12" t="n">
        <x:v>62</x:v>
      </x:c>
      <x:c r="P68" s="12" t="n">
        <x:v>10</x:v>
      </x:c>
      <x:c r="Q68" s="12" t="str">
        <x:v>Conservative design envelope: C=62 MPa from MAT-002 static shear strength and b=10</x:v>
      </x:c>
      <x:c r="R68" s="12" t="n">
        <x:v>601.9021540402141</x:v>
      </x:c>
      <x:c r="S68" s="12" t="str">
        <x:v>FAIL</x:v>
      </x:c>
      <x:c r="T68" s="12" t="n">
        <x:v>0.03990302923514906</x:v>
      </x:c>
      <x:c r="U68" s="12" t="n">
        <x:v>2.1367940806654234e-14</x:v>
      </x:c>
      <x:c r="V68" s="12" t="str">
        <x:v>SOURCED_CURVE_PASS</x:v>
      </x:c>
    </x:row>
    <x:row r="69" ht="66" hidden="0" customHeight="1">
      <x:c r="A69" s="12" t="str">
        <x:v>nominal_b10_split0</x:v>
      </x:c>
      <x:c r="B69" s="12" t="n">
        <x:v>43.05</x:v>
      </x:c>
      <x:c r="C69" s="12" t="str">
        <x:v>aft</x:v>
      </x:c>
      <x:c r="D69" s="12" t="str">
        <x:v>day4_baseline</x:v>
      </x:c>
      <x:c r="E69" s="12" t="str">
        <x:v>stiffness_based</x:v>
      </x:c>
      <x:c r="F69" s="12" t="n">
        <x:v>0</x:v>
      </x:c>
      <x:c r="G69" s="12" t="n">
        <x:v>0.48010302461074134</x:v>
      </x:c>
      <x:c r="H69" s="12" t="n">
        <x:v>0.4801030246107413</x:v>
      </x:c>
      <x:c r="I69" s="12" t="n">
        <x:v>2</x:v>
      </x:c>
      <x:c r="J69" s="12" t="n">
        <x:v>0.05</x:v>
      </x:c>
      <x:c r="K69" s="12" t="n">
        <x:v>48300000</x:v>
      </x:c>
      <x:c r="L69" s="12" t="n">
        <x:v>23593445.861999996</x:v>
      </x:c>
      <x:c r="M69" s="12" t="n">
        <x:v>89133.32723577239</x:v>
      </x:c>
      <x:c r="N69" s="12" t="n">
        <x:v>21.40253386248904</x:v>
      </x:c>
      <x:c r="O69" s="12" t="n">
        <x:v>62</x:v>
      </x:c>
      <x:c r="P69" s="12" t="n">
        <x:v>10</x:v>
      </x:c>
      <x:c r="Q69" s="12" t="str">
        <x:v>Conservative design envelope: C=62 MPa from MAT-002 static shear strength and b=10</x:v>
      </x:c>
      <x:c r="R69" s="12" t="n">
        <x:v>601.9021540402141</x:v>
      </x:c>
      <x:c r="S69" s="12" t="str">
        <x:v>FAIL</x:v>
      </x:c>
      <x:c r="T69" s="12" t="n">
        <x:v>0.03990302923514906</x:v>
      </x:c>
      <x:c r="U69" s="12" t="n">
        <x:v>2.1367940806654234e-14</x:v>
      </x:c>
      <x:c r="V69" s="12" t="str">
        <x:v>SOURCED_CURVE_PASS</x:v>
      </x:c>
    </x:row>
    <x:row r="70" ht="66" hidden="0" customHeight="1">
      <x:c r="A70" s="12" t="str">
        <x:v>nominal_b10_equal50</x:v>
      </x:c>
      <x:c r="B70" s="12" t="n">
        <x:v>43.05</x:v>
      </x:c>
      <x:c r="C70" s="12" t="str">
        <x:v>forward</x:v>
      </x:c>
      <x:c r="D70" s="12" t="str">
        <x:v>day4_baseline</x:v>
      </x:c>
      <x:c r="E70" s="12" t="str">
        <x:v>equal_50_50</x:v>
      </x:c>
      <x:c r="F70" s="12" t="n">
        <x:v>0</x:v>
      </x:c>
      <x:c r="G70" s="12" t="n">
        <x:v>0.5</x:v>
      </x:c>
      <x:c r="H70" s="12" t="n">
        <x:v>0.5</x:v>
      </x:c>
      <x:c r="I70" s="12" t="n">
        <x:v>2</x:v>
      </x:c>
      <x:c r="J70" s="12" t="n">
        <x:v>0.05</x:v>
      </x:c>
      <x:c r="K70" s="12" t="n">
        <x:v>48300000</x:v>
      </x:c>
      <x:c r="L70" s="12" t="n">
        <x:v>25549018.676999997</x:v>
      </x:c>
      <x:c r="M70" s="12" t="n">
        <x:v>89133.32723577239</x:v>
      </x:c>
      <x:c r="N70" s="12" t="n">
        <x:v>20.58343756132114</x:v>
      </x:c>
      <x:c r="O70" s="12" t="n">
        <x:v>62</x:v>
      </x:c>
      <x:c r="P70" s="12" t="n">
        <x:v>10</x:v>
      </x:c>
      <x:c r="Q70" s="12" t="str">
        <x:v>Conservative design envelope: C=62 MPa from MAT-002 static shear strength and b=10</x:v>
      </x:c>
      <x:c r="R70" s="12" t="n">
        <x:v>407.43002679710577</x:v>
      </x:c>
      <x:c r="S70" s="12" t="str">
        <x:v>FAIL</x:v>
      </x:c>
      <x:c r="T70" s="12" t="n">
        <x:v>0.03837590053805636</x:v>
      </x:c>
      <x:c r="U70" s="12" t="n">
        <x:v>1.3336425736659631e-14</x:v>
      </x:c>
      <x:c r="V70" s="12" t="str">
        <x:v>SOURCED_CURVE_PASS</x:v>
      </x:c>
    </x:row>
    <x:row r="71" ht="66" hidden="0" customHeight="1">
      <x:c r="A71" s="12" t="str">
        <x:v>nominal_b10_equal50</x:v>
      </x:c>
      <x:c r="B71" s="12" t="n">
        <x:v>43.05</x:v>
      </x:c>
      <x:c r="C71" s="12" t="str">
        <x:v>aft</x:v>
      </x:c>
      <x:c r="D71" s="12" t="str">
        <x:v>day4_baseline</x:v>
      </x:c>
      <x:c r="E71" s="12" t="str">
        <x:v>equal_50_50</x:v>
      </x:c>
      <x:c r="F71" s="12" t="n">
        <x:v>0</x:v>
      </x:c>
      <x:c r="G71" s="12" t="n">
        <x:v>0.5</x:v>
      </x:c>
      <x:c r="H71" s="12" t="n">
        <x:v>0.5</x:v>
      </x:c>
      <x:c r="I71" s="12" t="n">
        <x:v>2</x:v>
      </x:c>
      <x:c r="J71" s="12" t="n">
        <x:v>0.05</x:v>
      </x:c>
      <x:c r="K71" s="12" t="n">
        <x:v>48300000</x:v>
      </x:c>
      <x:c r="L71" s="12" t="n">
        <x:v>23593445.861999996</x:v>
      </x:c>
      <x:c r="M71" s="12" t="n">
        <x:v>89133.32723577239</x:v>
      </x:c>
      <x:c r="N71" s="12" t="n">
        <x:v>22.2895220039926</x:v>
      </x:c>
      <x:c r="O71" s="12" t="n">
        <x:v>62</x:v>
      </x:c>
      <x:c r="P71" s="12" t="n">
        <x:v>10</x:v>
      </x:c>
      <x:c r="Q71" s="12" t="str">
        <x:v>Conservative design envelope: C=62 MPa from MAT-002 static shear strength and b=10</x:v>
      </x:c>
      <x:c r="R71" s="12" t="n">
        <x:v>903.4029843992416</x:v>
      </x:c>
      <x:c r="S71" s="12" t="str">
        <x:v>FAIL</x:v>
      </x:c>
      <x:c r="T71" s="12" t="n">
        <x:v>0.041556735939647226</x:v>
      </x:c>
      <x:c r="U71" s="12" t="n">
        <x:v>3.489797803590162e-14</x:v>
      </x:c>
      <x:c r="V71" s="12" t="str">
        <x:v>SOURCED_CURVE_PASS</x:v>
      </x:c>
    </x:row>
    <x:row r="72" ht="66" hidden="0" customHeight="1">
      <x:c r="A72" s="12" t="str">
        <x:v>nominal_b10_split0</x:v>
      </x:c>
      <x:c r="B72" s="12" t="n">
        <x:v>43.05</x:v>
      </x:c>
      <x:c r="C72" s="12" t="str">
        <x:v>forward</x:v>
      </x:c>
      <x:c r="D72" s="12" t="str">
        <x:v>fatigue_reinforced_legacy</x:v>
      </x:c>
      <x:c r="E72" s="12" t="str">
        <x:v>stiffness_based</x:v>
      </x:c>
      <x:c r="F72" s="12" t="n">
        <x:v>0</x:v>
      </x:c>
      <x:c r="G72" s="12" t="n">
        <x:v>0.5198969753892587</x:v>
      </x:c>
      <x:c r="H72" s="12" t="n">
        <x:v>0.5198969753892587</x:v>
      </x:c>
      <x:c r="I72" s="12" t="n">
        <x:v>4</x:v>
      </x:c>
      <x:c r="J72" s="12" t="n">
        <x:v>0.05</x:v>
      </x:c>
      <x:c r="K72" s="12" t="n">
        <x:v>95500000</x:v>
      </x:c>
      <x:c r="L72" s="12" t="n">
        <x:v>50516175.644999996</x:v>
      </x:c>
      <x:c r="M72" s="12" t="n">
        <x:v>89133.32723577239</x:v>
      </x:c>
      <x:c r="N72" s="12" t="n">
        <x:v>10.824527597468279</x:v>
      </x:c>
      <x:c r="O72" s="12" t="n">
        <x:v>62</x:v>
      </x:c>
      <x:c r="P72" s="12" t="n">
        <x:v>10</x:v>
      </x:c>
      <x:c r="Q72" s="12" t="str">
        <x:v>Conservative design envelope: C=62 MPa from MAT-002 static shear strength and b=10</x:v>
      </x:c>
      <x:c r="R72" s="12" t="n">
        <x:v>0.6591184813727335</x:v>
      </x:c>
      <x:c r="S72" s="12" t="str">
        <x:v>PASS</x:v>
      </x:c>
      <x:c r="T72" s="12" t="n">
        <x:v>0.02018132263934764</x:v>
      </x:c>
      <x:c r="U72" s="12" t="n">
        <x:v>5.667653389085119e-18</x:v>
      </x:c>
      <x:c r="V72" s="12" t="str">
        <x:v>SOURCED_CURVE_PASS</x:v>
      </x:c>
    </x:row>
    <x:row r="73" ht="66" hidden="0" customHeight="1">
      <x:c r="A73" s="12" t="str">
        <x:v>nominal_b10_split0</x:v>
      </x:c>
      <x:c r="B73" s="12" t="n">
        <x:v>43.05</x:v>
      </x:c>
      <x:c r="C73" s="12" t="str">
        <x:v>aft</x:v>
      </x:c>
      <x:c r="D73" s="12" t="str">
        <x:v>fatigue_reinforced_legacy</x:v>
      </x:c>
      <x:c r="E73" s="12" t="str">
        <x:v>stiffness_based</x:v>
      </x:c>
      <x:c r="F73" s="12" t="n">
        <x:v>0</x:v>
      </x:c>
      <x:c r="G73" s="12" t="n">
        <x:v>0.4801030246107413</x:v>
      </x:c>
      <x:c r="H73" s="12" t="n">
        <x:v>0.4801030246107413</x:v>
      </x:c>
      <x:c r="I73" s="12" t="n">
        <x:v>4</x:v>
      </x:c>
      <x:c r="J73" s="12" t="n">
        <x:v>0.05</x:v>
      </x:c>
      <x:c r="K73" s="12" t="n">
        <x:v>95500000</x:v>
      </x:c>
      <x:c r="L73" s="12" t="n">
        <x:v>46649566.86999999</x:v>
      </x:c>
      <x:c r="M73" s="12" t="n">
        <x:v>89133.32723577239</x:v>
      </x:c>
      <x:c r="N73" s="12" t="n">
        <x:v>10.824527597468279</x:v>
      </x:c>
      <x:c r="O73" s="12" t="n">
        <x:v>62</x:v>
      </x:c>
      <x:c r="P73" s="12" t="n">
        <x:v>10</x:v>
      </x:c>
      <x:c r="Q73" s="12" t="str">
        <x:v>Conservative design envelope: C=62 MPa from MAT-002 static shear strength and b=10</x:v>
      </x:c>
      <x:c r="R73" s="12" t="n">
        <x:v>0.6591184813727335</x:v>
      </x:c>
      <x:c r="S73" s="12" t="str">
        <x:v>PASS</x:v>
      </x:c>
      <x:c r="T73" s="12" t="n">
        <x:v>0.02018132263934764</x:v>
      </x:c>
      <x:c r="U73" s="12" t="n">
        <x:v>5.667653389085119e-18</x:v>
      </x:c>
      <x:c r="V73" s="12" t="str">
        <x:v>SOURCED_CURVE_PASS</x:v>
      </x:c>
    </x:row>
    <x:row r="74" ht="66" hidden="0" customHeight="1">
      <x:c r="A74" s="12" t="str">
        <x:v>nominal_b10_split0</x:v>
      </x:c>
      <x:c r="B74" s="12" t="n">
        <x:v>47.15</x:v>
      </x:c>
      <x:c r="C74" s="12" t="str">
        <x:v>forward</x:v>
      </x:c>
      <x:c r="D74" s="12" t="str">
        <x:v>day4_baseline</x:v>
      </x:c>
      <x:c r="E74" s="12" t="str">
        <x:v>stiffness_based</x:v>
      </x:c>
      <x:c r="F74" s="12" t="n">
        <x:v>0</x:v>
      </x:c>
      <x:c r="G74" s="12" t="n">
        <x:v>0.5217843152611839</x:v>
      </x:c>
      <x:c r="H74" s="12" t="n">
        <x:v>0.5217843152611839</x:v>
      </x:c>
      <x:c r="I74" s="12" t="n">
        <x:v>2</x:v>
      </x:c>
      <x:c r="J74" s="12" t="n">
        <x:v>0.05</x:v>
      </x:c>
      <x:c r="K74" s="12" t="n">
        <x:v>48300000</x:v>
      </x:c>
      <x:c r="L74" s="12" t="n">
        <x:v>23311262.578799997</x:v>
      </x:c>
      <x:c r="M74" s="12" t="n">
        <x:v>63354.48373983739</x:v>
      </x:c>
      <x:c r="N74" s="12" t="n">
        <x:v>16.733415210824635</x:v>
      </x:c>
      <x:c r="O74" s="12" t="n">
        <x:v>62</x:v>
      </x:c>
      <x:c r="P74" s="12" t="n">
        <x:v>10</x:v>
      </x:c>
      <x:c r="Q74" s="12" t="str">
        <x:v>Conservative design envelope: C=62 MPa from MAT-002 static shear strength and b=10</x:v>
      </x:c>
      <x:c r="R74" s="12" t="n">
        <x:v>51.371215720009225</x:v>
      </x:c>
      <x:c r="S74" s="12" t="str">
        <x:v>FAIL</x:v>
      </x:c>
      <x:c r="T74" s="12" t="n">
        <x:v>0.031197892765944236</x:v>
      </x:c>
      <x:c r="U74" s="12" t="n">
        <x:v>1.0930624085517906e-15</x:v>
      </x:c>
      <x:c r="V74" s="12" t="str">
        <x:v>SOURCED_CURVE_PASS</x:v>
      </x:c>
    </x:row>
    <x:row r="75" ht="66" hidden="0" customHeight="1">
      <x:c r="A75" s="12" t="str">
        <x:v>nominal_b10_split0</x:v>
      </x:c>
      <x:c r="B75" s="12" t="n">
        <x:v>47.15</x:v>
      </x:c>
      <x:c r="C75" s="12" t="str">
        <x:v>aft</x:v>
      </x:c>
      <x:c r="D75" s="12" t="str">
        <x:v>day4_baseline</x:v>
      </x:c>
      <x:c r="E75" s="12" t="str">
        <x:v>stiffness_based</x:v>
      </x:c>
      <x:c r="F75" s="12" t="n">
        <x:v>0</x:v>
      </x:c>
      <x:c r="G75" s="12" t="n">
        <x:v>0.4782156847388161</x:v>
      </x:c>
      <x:c r="H75" s="12" t="n">
        <x:v>0.47821568473881615</x:v>
      </x:c>
      <x:c r="I75" s="12" t="n">
        <x:v>2</x:v>
      </x:c>
      <x:c r="J75" s="12" t="n">
        <x:v>0.05</x:v>
      </x:c>
      <x:c r="K75" s="12" t="n">
        <x:v>48300000</x:v>
      </x:c>
      <x:c r="L75" s="12" t="n">
        <x:v>21364788.227999996</x:v>
      </x:c>
      <x:c r="M75" s="12" t="n">
        <x:v>63354.48373983739</x:v>
      </x:c>
      <x:c r="N75" s="12" t="n">
        <x:v>16.73341521082464</x:v>
      </x:c>
      <x:c r="O75" s="12" t="n">
        <x:v>62</x:v>
      </x:c>
      <x:c r="P75" s="12" t="n">
        <x:v>10</x:v>
      </x:c>
      <x:c r="Q75" s="12" t="str">
        <x:v>Conservative design envelope: C=62 MPa from MAT-002 static shear strength and b=10</x:v>
      </x:c>
      <x:c r="R75" s="12" t="n">
        <x:v>51.371215720009296</x:v>
      </x:c>
      <x:c r="S75" s="12" t="str">
        <x:v>FAIL</x:v>
      </x:c>
      <x:c r="T75" s="12" t="n">
        <x:v>0.03119789276594424</x:v>
      </x:c>
      <x:c r="U75" s="12" t="n">
        <x:v>1.0930624085517906e-15</x:v>
      </x:c>
      <x:c r="V75" s="12" t="str">
        <x:v>SOURCED_CURVE_PASS</x:v>
      </x:c>
    </x:row>
    <x:row r="76" ht="66" hidden="0" customHeight="1">
      <x:c r="A76" s="12" t="str">
        <x:v>nominal_b10_equal50</x:v>
      </x:c>
      <x:c r="B76" s="12" t="n">
        <x:v>47.15</x:v>
      </x:c>
      <x:c r="C76" s="12" t="str">
        <x:v>forward</x:v>
      </x:c>
      <x:c r="D76" s="12" t="str">
        <x:v>day4_baseline</x:v>
      </x:c>
      <x:c r="E76" s="12" t="str">
        <x:v>equal_50_50</x:v>
      </x:c>
      <x:c r="F76" s="12" t="n">
        <x:v>0</x:v>
      </x:c>
      <x:c r="G76" s="12" t="n">
        <x:v>0.5</x:v>
      </x:c>
      <x:c r="H76" s="12" t="n">
        <x:v>0.5</x:v>
      </x:c>
      <x:c r="I76" s="12" t="n">
        <x:v>2</x:v>
      </x:c>
      <x:c r="J76" s="12" t="n">
        <x:v>0.05</x:v>
      </x:c>
      <x:c r="K76" s="12" t="n">
        <x:v>48300000</x:v>
      </x:c>
      <x:c r="L76" s="12" t="n">
        <x:v>23311262.578799997</x:v>
      </x:c>
      <x:c r="M76" s="12" t="n">
        <x:v>63354.48373983739</x:v>
      </x:c>
      <x:c r="N76" s="12" t="n">
        <x:v>16.034800895125194</x:v>
      </x:c>
      <x:c r="O76" s="12" t="n">
        <x:v>62</x:v>
      </x:c>
      <x:c r="P76" s="12" t="n">
        <x:v>10</x:v>
      </x:c>
      <x:c r="Q76" s="12" t="str">
        <x:v>Conservative design envelope: C=62 MPa from MAT-002 static shear strength and b=10</x:v>
      </x:c>
      <x:c r="R76" s="12" t="n">
        <x:v>33.535878340297415</x:v>
      </x:c>
      <x:c r="S76" s="12" t="str">
        <x:v>FAIL</x:v>
      </x:c>
      <x:c r="T76" s="12" t="n">
        <x:v>0.029895391499385953</x:v>
      </x:c>
      <x:c r="U76" s="12" t="n">
        <x:v>6.52996852184151e-16</x:v>
      </x:c>
      <x:c r="V76" s="12" t="str">
        <x:v>SOURCED_CURVE_PASS</x:v>
      </x:c>
    </x:row>
    <x:row r="77" ht="66" hidden="0" customHeight="1">
      <x:c r="A77" s="12" t="str">
        <x:v>nominal_b10_equal50</x:v>
      </x:c>
      <x:c r="B77" s="12" t="n">
        <x:v>47.15</x:v>
      </x:c>
      <x:c r="C77" s="12" t="str">
        <x:v>aft</x:v>
      </x:c>
      <x:c r="D77" s="12" t="str">
        <x:v>day4_baseline</x:v>
      </x:c>
      <x:c r="E77" s="12" t="str">
        <x:v>equal_50_50</x:v>
      </x:c>
      <x:c r="F77" s="12" t="n">
        <x:v>0</x:v>
      </x:c>
      <x:c r="G77" s="12" t="n">
        <x:v>0.5</x:v>
      </x:c>
      <x:c r="H77" s="12" t="n">
        <x:v>0.5</x:v>
      </x:c>
      <x:c r="I77" s="12" t="n">
        <x:v>2</x:v>
      </x:c>
      <x:c r="J77" s="12" t="n">
        <x:v>0.05</x:v>
      </x:c>
      <x:c r="K77" s="12" t="n">
        <x:v>48300000</x:v>
      </x:c>
      <x:c r="L77" s="12" t="n">
        <x:v>21364788.227999996</x:v>
      </x:c>
      <x:c r="M77" s="12" t="n">
        <x:v>63354.48373983739</x:v>
      </x:c>
      <x:c r="N77" s="12" t="n">
        <x:v>17.495677938673023</x:v>
      </x:c>
      <x:c r="O77" s="12" t="n">
        <x:v>62</x:v>
      </x:c>
      <x:c r="P77" s="12" t="n">
        <x:v>10</x:v>
      </x:c>
      <x:c r="Q77" s="12" t="str">
        <x:v>Conservative design envelope: C=62 MPa from MAT-002 static shear strength and b=10</x:v>
      </x:c>
      <x:c r="R77" s="12" t="n">
        <x:v>80.20135854045445</x:v>
      </x:c>
      <x:c r="S77" s="12" t="str">
        <x:v>FAIL</x:v>
      </x:c>
      <x:c r="T77" s="12" t="n">
        <x:v>0.032619060563627664</x:v>
      </x:c>
      <x:c r="U77" s="12" t="n">
        <x:v>1.872177025142838e-15</x:v>
      </x:c>
      <x:c r="V77" s="12" t="str">
        <x:v>SOURCED_CURVE_PASS</x:v>
      </x:c>
    </x:row>
    <x:row r="78" ht="66" hidden="0" customHeight="1">
      <x:c r="A78" s="12" t="str">
        <x:v>nominal_b10_split0</x:v>
      </x:c>
      <x:c r="B78" s="12" t="n">
        <x:v>47.15</x:v>
      </x:c>
      <x:c r="C78" s="12" t="str">
        <x:v>forward</x:v>
      </x:c>
      <x:c r="D78" s="12" t="str">
        <x:v>fatigue_reinforced_legacy</x:v>
      </x:c>
      <x:c r="E78" s="12" t="str">
        <x:v>stiffness_based</x:v>
      </x:c>
      <x:c r="F78" s="12" t="n">
        <x:v>0</x:v>
      </x:c>
      <x:c r="G78" s="12" t="n">
        <x:v>0.521784315261184</x:v>
      </x:c>
      <x:c r="H78" s="12" t="n">
        <x:v>0.521784315261184</x:v>
      </x:c>
      <x:c r="I78" s="12" t="n">
        <x:v>3</x:v>
      </x:c>
      <x:c r="J78" s="12" t="n">
        <x:v>0.05</x:v>
      </x:c>
      <x:c r="K78" s="12" t="n">
        <x:v>71900000</x:v>
      </x:c>
      <x:c r="L78" s="12" t="n">
        <x:v>34701444.708399996</x:v>
      </x:c>
      <x:c r="M78" s="12" t="n">
        <x:v>63354.48373983739</x:v>
      </x:c>
      <x:c r="N78" s="12" t="n">
        <x:v>11.24094512771669</x:v>
      </x:c>
      <x:c r="O78" s="12" t="n">
        <x:v>62</x:v>
      </x:c>
      <x:c r="P78" s="12" t="n">
        <x:v>10</x:v>
      </x:c>
      <x:c r="Q78" s="12" t="str">
        <x:v>Conservative design envelope: C=62 MPa from MAT-002 static shear strength and b=10</x:v>
      </x:c>
      <x:c r="R78" s="12" t="n">
        <x:v>0.961395859249264</x:v>
      </x:c>
      <x:c r="S78" s="12" t="str">
        <x:v>FAIL</x:v>
      </x:c>
      <x:c r="T78" s="12" t="n">
        <x:v>0.020957694305912475</x:v>
      </x:c>
      <x:c r="U78" s="12" t="n">
        <x:v>8.942136652581516e-18</x:v>
      </x:c>
      <x:c r="V78" s="12" t="str">
        <x:v>SOURCED_CURVE_PASS</x:v>
      </x:c>
    </x:row>
    <x:row r="79" ht="66" hidden="0" customHeight="1">
      <x:c r="A79" s="12" t="str">
        <x:v>nominal_b10_split0</x:v>
      </x:c>
      <x:c r="B79" s="12" t="n">
        <x:v>47.15</x:v>
      </x:c>
      <x:c r="C79" s="12" t="str">
        <x:v>aft</x:v>
      </x:c>
      <x:c r="D79" s="12" t="str">
        <x:v>fatigue_reinforced_legacy</x:v>
      </x:c>
      <x:c r="E79" s="12" t="str">
        <x:v>stiffness_based</x:v>
      </x:c>
      <x:c r="F79" s="12" t="n">
        <x:v>0</x:v>
      </x:c>
      <x:c r="G79" s="12" t="n">
        <x:v>0.4782156847388161</x:v>
      </x:c>
      <x:c r="H79" s="12" t="n">
        <x:v>0.47821568473881604</x:v>
      </x:c>
      <x:c r="I79" s="12" t="n">
        <x:v>3</x:v>
      </x:c>
      <x:c r="J79" s="12" t="n">
        <x:v>0.05</x:v>
      </x:c>
      <x:c r="K79" s="12" t="n">
        <x:v>71900000</x:v>
      </x:c>
      <x:c r="L79" s="12" t="n">
        <x:v>31803898.003999993</x:v>
      </x:c>
      <x:c r="M79" s="12" t="n">
        <x:v>63354.48373983739</x:v>
      </x:c>
      <x:c r="N79" s="12" t="n">
        <x:v>11.240945127716689</x:v>
      </x:c>
      <x:c r="O79" s="12" t="n">
        <x:v>62</x:v>
      </x:c>
      <x:c r="P79" s="12" t="n">
        <x:v>10</x:v>
      </x:c>
      <x:c r="Q79" s="12" t="str">
        <x:v>Conservative design envelope: C=62 MPa from MAT-002 static shear strength and b=10</x:v>
      </x:c>
      <x:c r="R79" s="12" t="n">
        <x:v>0.9613958592492619</x:v>
      </x:c>
      <x:c r="S79" s="12" t="str">
        <x:v>FAIL</x:v>
      </x:c>
      <x:c r="T79" s="12" t="n">
        <x:v>0.02095769430591247</x:v>
      </x:c>
      <x:c r="U79" s="12" t="n">
        <x:v>8.942136652581485e-18</x:v>
      </x:c>
      <x:c r="V79" s="12" t="str">
        <x:v>SOURCED_CURVE_PASS</x:v>
      </x:c>
    </x:row>
    <x:row r="80" ht="66" hidden="0" customHeight="1">
      <x:c r="A80" s="12" t="str">
        <x:v>nominal_b10_split0</x:v>
      </x:c>
      <x:c r="B80" s="12" t="n">
        <x:v>51.25</x:v>
      </x:c>
      <x:c r="C80" s="12" t="str">
        <x:v>forward</x:v>
      </x:c>
      <x:c r="D80" s="12" t="str">
        <x:v>day4_baseline</x:v>
      </x:c>
      <x:c r="E80" s="12" t="str">
        <x:v>stiffness_based</x:v>
      </x:c>
      <x:c r="F80" s="12" t="n">
        <x:v>0</x:v>
      </x:c>
      <x:c r="G80" s="12" t="n">
        <x:v>0.5238904785749796</x:v>
      </x:c>
      <x:c r="H80" s="12" t="n">
        <x:v>0.5238904785749796</x:v>
      </x:c>
      <x:c r="I80" s="12" t="n">
        <x:v>2</x:v>
      </x:c>
      <x:c r="J80" s="12" t="n">
        <x:v>0.05</x:v>
      </x:c>
      <x:c r="K80" s="12" t="n">
        <x:v>48300000</x:v>
      </x:c>
      <x:c r="L80" s="12" t="n">
        <x:v>21054852.7308</x:v>
      </x:c>
      <x:c r="M80" s="12" t="n">
        <x:v>42286.83035365047</x:v>
      </x:c>
      <x:c r="N80" s="12" t="n">
        <x:v>12.415820869458239</x:v>
      </x:c>
      <x:c r="O80" s="12" t="n">
        <x:v>62</x:v>
      </x:c>
      <x:c r="P80" s="12" t="n">
        <x:v>10</x:v>
      </x:c>
      <x:c r="Q80" s="12" t="str">
        <x:v>Conservative design envelope: C=62 MPa from MAT-002 static shear strength and b=10</x:v>
      </x:c>
      <x:c r="R80" s="12" t="n">
        <x:v>2.597935415482923</x:v>
      </x:c>
      <x:c r="S80" s="12" t="str">
        <x:v>FAIL</x:v>
      </x:c>
      <x:c r="T80" s="12" t="n">
        <x:v>0.023148140604074684</x:v>
      </x:c>
      <x:c r="U80" s="12" t="n">
        <x:v>2.9714363709861645e-17</x:v>
      </x:c>
      <x:c r="V80" s="12" t="str">
        <x:v>SOURCED_CURVE_PASS</x:v>
      </x:c>
    </x:row>
    <x:row r="81" ht="66" hidden="0" customHeight="1">
      <x:c r="A81" s="12" t="str">
        <x:v>nominal_b10_split0</x:v>
      </x:c>
      <x:c r="B81" s="12" t="n">
        <x:v>51.25</x:v>
      </x:c>
      <x:c r="C81" s="12" t="str">
        <x:v>aft</x:v>
      </x:c>
      <x:c r="D81" s="12" t="str">
        <x:v>day4_baseline</x:v>
      </x:c>
      <x:c r="E81" s="12" t="str">
        <x:v>stiffness_based</x:v>
      </x:c>
      <x:c r="F81" s="12" t="n">
        <x:v>0</x:v>
      </x:c>
      <x:c r="G81" s="12" t="n">
        <x:v>0.4761095214250204</x:v>
      </x:c>
      <x:c r="H81" s="12" t="n">
        <x:v>0.4761095214250204</x:v>
      </x:c>
      <x:c r="I81" s="12" t="n">
        <x:v>2</x:v>
      </x:c>
      <x:c r="J81" s="12" t="n">
        <x:v>0.05</x:v>
      </x:c>
      <x:c r="K81" s="12" t="n">
        <x:v>48300000</x:v>
      </x:c>
      <x:c r="L81" s="12" t="n">
        <x:v>19134563.935199995</x:v>
      </x:c>
      <x:c r="M81" s="12" t="n">
        <x:v>42286.83035365047</x:v>
      </x:c>
      <x:c r="N81" s="12" t="n">
        <x:v>12.415820869458239</x:v>
      </x:c>
      <x:c r="O81" s="12" t="n">
        <x:v>62</x:v>
      </x:c>
      <x:c r="P81" s="12" t="n">
        <x:v>10</x:v>
      </x:c>
      <x:c r="Q81" s="12" t="str">
        <x:v>Conservative design envelope: C=62 MPa from MAT-002 static shear strength and b=10</x:v>
      </x:c>
      <x:c r="R81" s="12" t="n">
        <x:v>2.597935415482923</x:v>
      </x:c>
      <x:c r="S81" s="12" t="str">
        <x:v>FAIL</x:v>
      </x:c>
      <x:c r="T81" s="12" t="n">
        <x:v>0.023148140604074684</x:v>
      </x:c>
      <x:c r="U81" s="12" t="n">
        <x:v>2.9714363709861645e-17</x:v>
      </x:c>
      <x:c r="V81" s="12" t="str">
        <x:v>SOURCED_CURVE_PASS</x:v>
      </x:c>
    </x:row>
    <x:row r="82" ht="66" hidden="0" customHeight="1">
      <x:c r="A82" s="12" t="str">
        <x:v>nominal_b10_equal50</x:v>
      </x:c>
      <x:c r="B82" s="12" t="n">
        <x:v>51.25</x:v>
      </x:c>
      <x:c r="C82" s="12" t="str">
        <x:v>forward</x:v>
      </x:c>
      <x:c r="D82" s="12" t="str">
        <x:v>day4_baseline</x:v>
      </x:c>
      <x:c r="E82" s="12" t="str">
        <x:v>equal_50_50</x:v>
      </x:c>
      <x:c r="F82" s="12" t="n">
        <x:v>0</x:v>
      </x:c>
      <x:c r="G82" s="12" t="n">
        <x:v>0.5</x:v>
      </x:c>
      <x:c r="H82" s="12" t="n">
        <x:v>0.5</x:v>
      </x:c>
      <x:c r="I82" s="12" t="n">
        <x:v>2</x:v>
      </x:c>
      <x:c r="J82" s="12" t="n">
        <x:v>0.05</x:v>
      </x:c>
      <x:c r="K82" s="12" t="n">
        <x:v>48300000</x:v>
      </x:c>
      <x:c r="L82" s="12" t="n">
        <x:v>21054852.7308</x:v>
      </x:c>
      <x:c r="M82" s="12" t="n">
        <x:v>42286.83035365047</x:v>
      </x:c>
      <x:c r="N82" s="12" t="n">
        <x:v>11.849634014374702</x:v>
      </x:c>
      <x:c r="O82" s="12" t="n">
        <x:v>62</x:v>
      </x:c>
      <x:c r="P82" s="12" t="n">
        <x:v>10</x:v>
      </x:c>
      <x:c r="Q82" s="12" t="str">
        <x:v>Conservative design envelope: C=62 MPa from MAT-002 static shear strength and b=10</x:v>
      </x:c>
      <x:c r="R82" s="12" t="n">
        <x:v>1.629008457785997</x:v>
      </x:c>
      <x:c r="S82" s="12" t="str">
        <x:v>FAIL</x:v>
      </x:c>
      <x:c r="T82" s="12" t="n">
        <x:v>0.02209253799290199</x:v>
      </x:c>
      <x:c r="U82" s="12" t="n">
        <x:v>1.6908254705594796e-17</x:v>
      </x:c>
      <x:c r="V82" s="12" t="str">
        <x:v>SOURCED_CURVE_PASS</x:v>
      </x:c>
    </x:row>
    <x:row r="83" ht="66" hidden="0" customHeight="1">
      <x:c r="A83" s="12" t="str">
        <x:v>nominal_b10_equal50</x:v>
      </x:c>
      <x:c r="B83" s="12" t="n">
        <x:v>51.25</x:v>
      </x:c>
      <x:c r="C83" s="12" t="str">
        <x:v>aft</x:v>
      </x:c>
      <x:c r="D83" s="12" t="str">
        <x:v>day4_baseline</x:v>
      </x:c>
      <x:c r="E83" s="12" t="str">
        <x:v>equal_50_50</x:v>
      </x:c>
      <x:c r="F83" s="12" t="n">
        <x:v>0</x:v>
      </x:c>
      <x:c r="G83" s="12" t="n">
        <x:v>0.5</x:v>
      </x:c>
      <x:c r="H83" s="12" t="n">
        <x:v>0.5</x:v>
      </x:c>
      <x:c r="I83" s="12" t="n">
        <x:v>2</x:v>
      </x:c>
      <x:c r="J83" s="12" t="n">
        <x:v>0.05</x:v>
      </x:c>
      <x:c r="K83" s="12" t="n">
        <x:v>48300000</x:v>
      </x:c>
      <x:c r="L83" s="12" t="n">
        <x:v>19134563.935199995</x:v>
      </x:c>
      <x:c r="M83" s="12" t="n">
        <x:v>42286.83035365047</x:v>
      </x:c>
      <x:c r="N83" s="12" t="n">
        <x:v>13.038828579080972</x:v>
      </x:c>
      <x:c r="O83" s="12" t="n">
        <x:v>62</x:v>
      </x:c>
      <x:c r="P83" s="12" t="n">
        <x:v>10</x:v>
      </x:c>
      <x:c r="Q83" s="12" t="str">
        <x:v>Conservative design envelope: C=62 MPa from MAT-002 static shear strength and b=10</x:v>
      </x:c>
      <x:c r="R83" s="12" t="n">
        <x:v>4.238963979425469</x:v>
      </x:c>
      <x:c r="S83" s="12" t="str">
        <x:v>FAIL</x:v>
      </x:c>
      <x:c r="T83" s="12" t="n">
        <x:v>0.024309680401676394</x:v>
      </x:c>
      <x:c r="U83" s="12" t="n">
        <x:v>5.368156109470522e-17</x:v>
      </x:c>
      <x:c r="V83" s="12" t="str">
        <x:v>SOURCED_CURVE_PASS</x:v>
      </x:c>
    </x:row>
    <x:row r="84" ht="66" hidden="0" customHeight="1">
      <x:c r="A84" s="12" t="str">
        <x:v>nominal_b10_split0</x:v>
      </x:c>
      <x:c r="B84" s="12" t="n">
        <x:v>51.25</x:v>
      </x:c>
      <x:c r="C84" s="12" t="str">
        <x:v>forward</x:v>
      </x:c>
      <x:c r="D84" s="12" t="str">
        <x:v>fatigue_reinforced_legacy</x:v>
      </x:c>
      <x:c r="E84" s="12" t="str">
        <x:v>stiffness_based</x:v>
      </x:c>
      <x:c r="F84" s="12" t="n">
        <x:v>0</x:v>
      </x:c>
      <x:c r="G84" s="12" t="n">
        <x:v>0.5238904785749796</x:v>
      </x:c>
      <x:c r="H84" s="12" t="n">
        <x:v>0.5238904785749796</x:v>
      </x:c>
      <x:c r="I84" s="12" t="n">
        <x:v>3</x:v>
      </x:c>
      <x:c r="J84" s="12" t="n">
        <x:v>0.05</x:v>
      </x:c>
      <x:c r="K84" s="12" t="n">
        <x:v>71900000</x:v>
      </x:c>
      <x:c r="L84" s="12" t="n">
        <x:v>31342524.0444</x:v>
      </x:c>
      <x:c r="M84" s="12" t="n">
        <x:v>42286.83035365047</x:v>
      </x:c>
      <x:c r="N84" s="12" t="n">
        <x:v>8.340530570164576</x:v>
      </x:c>
      <x:c r="O84" s="12" t="n">
        <x:v>62</x:v>
      </x:c>
      <x:c r="P84" s="12" t="n">
        <x:v>10</x:v>
      </x:c>
      <x:c r="Q84" s="12" t="str">
        <x:v>Conservative design envelope: C=62 MPa from MAT-002 static shear strength and b=10</x:v>
      </x:c>
      <x:c r="R84" s="12" t="n">
        <x:v>0.04861952975096639</x:v>
      </x:c>
      <x:c r="S84" s="12" t="str">
        <x:v>PASS</x:v>
      </x:c>
      <x:c r="T84" s="12" t="n">
        <x:v>0.015550141740984801</x:v>
      </x:c>
      <x:c r="U84" s="12" t="n">
        <x:v>2.430875847154352e-19</x:v>
      </x:c>
      <x:c r="V84" s="12" t="str">
        <x:v>SOURCED_CURVE_PASS</x:v>
      </x:c>
    </x:row>
    <x:row r="85" ht="66" hidden="0" customHeight="1">
      <x:c r="A85" s="12" t="str">
        <x:v>nominal_b10_split0</x:v>
      </x:c>
      <x:c r="B85" s="12" t="n">
        <x:v>51.25</x:v>
      </x:c>
      <x:c r="C85" s="12" t="str">
        <x:v>aft</x:v>
      </x:c>
      <x:c r="D85" s="12" t="str">
        <x:v>fatigue_reinforced_legacy</x:v>
      </x:c>
      <x:c r="E85" s="12" t="str">
        <x:v>stiffness_based</x:v>
      </x:c>
      <x:c r="F85" s="12" t="n">
        <x:v>0</x:v>
      </x:c>
      <x:c r="G85" s="12" t="n">
        <x:v>0.4761095214250204</x:v>
      </x:c>
      <x:c r="H85" s="12" t="n">
        <x:v>0.4761095214250204</x:v>
      </x:c>
      <x:c r="I85" s="12" t="n">
        <x:v>3</x:v>
      </x:c>
      <x:c r="J85" s="12" t="n">
        <x:v>0.05</x:v>
      </x:c>
      <x:c r="K85" s="12" t="n">
        <x:v>71900000</x:v>
      </x:c>
      <x:c r="L85" s="12" t="n">
        <x:v>28483957.493599992</x:v>
      </x:c>
      <x:c r="M85" s="12" t="n">
        <x:v>42286.83035365047</x:v>
      </x:c>
      <x:c r="N85" s="12" t="n">
        <x:v>8.340530570164576</x:v>
      </x:c>
      <x:c r="O85" s="12" t="n">
        <x:v>62</x:v>
      </x:c>
      <x:c r="P85" s="12" t="n">
        <x:v>10</x:v>
      </x:c>
      <x:c r="Q85" s="12" t="str">
        <x:v>Conservative design envelope: C=62 MPa from MAT-002 static shear strength and b=10</x:v>
      </x:c>
      <x:c r="R85" s="12" t="n">
        <x:v>0.04861952975096639</x:v>
      </x:c>
      <x:c r="S85" s="12" t="str">
        <x:v>PASS</x:v>
      </x:c>
      <x:c r="T85" s="12" t="n">
        <x:v>0.015550141740984801</x:v>
      </x:c>
      <x:c r="U85" s="12" t="n">
        <x:v>2.430875847154352e-19</x:v>
      </x:c>
      <x:c r="V85" s="12" t="str">
        <x:v>SOURCED_CURVE_PASS</x:v>
      </x:c>
    </x:row>
    <x:row r="86" ht="66" hidden="0" customHeight="1">
      <x:c r="A86" s="12" t="str">
        <x:v>nominal_b10_split0</x:v>
      </x:c>
      <x:c r="B86" s="12" t="n">
        <x:v>54.6667</x:v>
      </x:c>
      <x:c r="C86" s="12" t="str">
        <x:v>forward</x:v>
      </x:c>
      <x:c r="D86" s="12" t="str">
        <x:v>day4_baseline</x:v>
      </x:c>
      <x:c r="E86" s="12" t="str">
        <x:v>stiffness_based</x:v>
      </x:c>
      <x:c r="F86" s="12" t="n">
        <x:v>0</x:v>
      </x:c>
      <x:c r="G86" s="12" t="n">
        <x:v>0.5259813641279333</x:v>
      </x:c>
      <x:c r="H86" s="12" t="n">
        <x:v>0.5259813641279333</x:v>
      </x:c>
      <x:c r="I86" s="12" t="n">
        <x:v>2</x:v>
      </x:c>
      <x:c r="J86" s="12" t="n">
        <x:v>0.05</x:v>
      </x:c>
      <x:c r="K86" s="12" t="n">
        <x:v>48300000</x:v>
      </x:c>
      <x:c r="L86" s="12" t="n">
        <x:v>19154640.7962</x:v>
      </x:c>
      <x:c r="M86" s="12" t="n">
        <x:v>22598.442694669757</x:v>
      </x:c>
      <x:c r="N86" s="12" t="n">
        <x:v>7.322457577653735</x:v>
      </x:c>
      <x:c r="O86" s="12" t="n">
        <x:v>62</x:v>
      </x:c>
      <x:c r="P86" s="12" t="n">
        <x:v>10</x:v>
      </x:c>
      <x:c r="Q86" s="12" t="str">
        <x:v>Conservative design envelope: C=62 MPa from MAT-002 static shear strength and b=10</x:v>
      </x:c>
      <x:c r="R86" s="12" t="n">
        <x:v>0.013226429213481607</x:v>
      </x:c>
      <x:c r="S86" s="12" t="str">
        <x:v>PASS</x:v>
      </x:c>
      <x:c r="T86" s="12" t="n">
        <x:v>0.013652039551557811</x:v>
      </x:c>
      <x:c r="U86" s="12" t="n">
        <x:v>5.044266961062777e-20</x:v>
      </x:c>
      <x:c r="V86" s="12" t="str">
        <x:v>SOURCED_CURVE_PASS</x:v>
      </x:c>
    </x:row>
    <x:row r="87" ht="66" hidden="0" customHeight="1">
      <x:c r="A87" s="12" t="str">
        <x:v>nominal_b10_split0</x:v>
      </x:c>
      <x:c r="B87" s="12" t="n">
        <x:v>54.6667</x:v>
      </x:c>
      <x:c r="C87" s="12" t="str">
        <x:v>aft</x:v>
      </x:c>
      <x:c r="D87" s="12" t="str">
        <x:v>day4_baseline</x:v>
      </x:c>
      <x:c r="E87" s="12" t="str">
        <x:v>stiffness_based</x:v>
      </x:c>
      <x:c r="F87" s="12" t="n">
        <x:v>0</x:v>
      </x:c>
      <x:c r="G87" s="12" t="n">
        <x:v>0.47401863587206666</x:v>
      </x:c>
      <x:c r="H87" s="12" t="n">
        <x:v>0.4740186358720667</x:v>
      </x:c>
      <x:c r="I87" s="12" t="n">
        <x:v>2</x:v>
      </x:c>
      <x:c r="J87" s="12" t="n">
        <x:v>0.05</x:v>
      </x:c>
      <x:c r="K87" s="12" t="n">
        <x:v>48300000</x:v>
      </x:c>
      <x:c r="L87" s="12" t="n">
        <x:v>17262316.3482</x:v>
      </x:c>
      <x:c r="M87" s="12" t="n">
        <x:v>22598.442694669757</x:v>
      </x:c>
      <x:c r="N87" s="12" t="n">
        <x:v>7.322457577653738</x:v>
      </x:c>
      <x:c r="O87" s="12" t="n">
        <x:v>62</x:v>
      </x:c>
      <x:c r="P87" s="12" t="n">
        <x:v>10</x:v>
      </x:c>
      <x:c r="Q87" s="12" t="str">
        <x:v>Conservative design envelope: C=62 MPa from MAT-002 static shear strength and b=10</x:v>
      </x:c>
      <x:c r="R87" s="12" t="n">
        <x:v>0.01322642921348165</x:v>
      </x:c>
      <x:c r="S87" s="12" t="str">
        <x:v>PASS</x:v>
      </x:c>
      <x:c r="T87" s="12" t="n">
        <x:v>0.013652039551557815</x:v>
      </x:c>
      <x:c r="U87" s="12" t="n">
        <x:v>5.04426696106279e-20</x:v>
      </x:c>
      <x:c r="V87" s="12" t="str">
        <x:v>SOURCED_CURVE_PASS</x:v>
      </x:c>
    </x:row>
    <x:row r="88" ht="66" hidden="0" customHeight="1">
      <x:c r="A88" s="12" t="str">
        <x:v>nominal_b10_equal50</x:v>
      </x:c>
      <x:c r="B88" s="12" t="n">
        <x:v>54.6667</x:v>
      </x:c>
      <x:c r="C88" s="12" t="str">
        <x:v>forward</x:v>
      </x:c>
      <x:c r="D88" s="12" t="str">
        <x:v>day4_baseline</x:v>
      </x:c>
      <x:c r="E88" s="12" t="str">
        <x:v>equal_50_50</x:v>
      </x:c>
      <x:c r="F88" s="12" t="n">
        <x:v>0</x:v>
      </x:c>
      <x:c r="G88" s="12" t="n">
        <x:v>0.5</x:v>
      </x:c>
      <x:c r="H88" s="12" t="n">
        <x:v>0.5</x:v>
      </x:c>
      <x:c r="I88" s="12" t="n">
        <x:v>2</x:v>
      </x:c>
      <x:c r="J88" s="12" t="n">
        <x:v>0.05</x:v>
      </x:c>
      <x:c r="K88" s="12" t="n">
        <x:v>48300000</x:v>
      </x:c>
      <x:c r="L88" s="12" t="n">
        <x:v>19154640.7962</x:v>
      </x:c>
      <x:c r="M88" s="12" t="n">
        <x:v>22598.442694669757</x:v>
      </x:c>
      <x:c r="N88" s="12" t="n">
        <x:v>6.960757620941785</x:v>
      </x:c>
      <x:c r="O88" s="12" t="n">
        <x:v>62</x:v>
      </x:c>
      <x:c r="P88" s="12" t="n">
        <x:v>10</x:v>
      </x:c>
      <x:c r="Q88" s="12" t="str">
        <x:v>Conservative design envelope: C=62 MPa from MAT-002 static shear strength and b=10</x:v>
      </x:c>
      <x:c r="R88" s="12" t="n">
        <x:v>0.007969646980194988</x:v>
      </x:c>
      <x:c r="S88" s="12" t="str">
        <x:v>PASS</x:v>
      </x:c>
      <x:c r="T88" s="12" t="n">
        <x:v>0.012977683700060956</x:v>
      </x:c>
      <x:c r="U88" s="12" t="n">
        <x:v>2.735481624664759e-20</x:v>
      </x:c>
      <x:c r="V88" s="12" t="str">
        <x:v>SOURCED_CURVE_PASS</x:v>
      </x:c>
    </x:row>
    <x:row r="89" ht="66" hidden="0" customHeight="1">
      <x:c r="A89" s="12" t="str">
        <x:v>nominal_b10_equal50</x:v>
      </x:c>
      <x:c r="B89" s="12" t="n">
        <x:v>54.6667</x:v>
      </x:c>
      <x:c r="C89" s="12" t="str">
        <x:v>aft</x:v>
      </x:c>
      <x:c r="D89" s="12" t="str">
        <x:v>day4_baseline</x:v>
      </x:c>
      <x:c r="E89" s="12" t="str">
        <x:v>equal_50_50</x:v>
      </x:c>
      <x:c r="F89" s="12" t="n">
        <x:v>0</x:v>
      </x:c>
      <x:c r="G89" s="12" t="n">
        <x:v>0.5</x:v>
      </x:c>
      <x:c r="H89" s="12" t="n">
        <x:v>0.5</x:v>
      </x:c>
      <x:c r="I89" s="12" t="n">
        <x:v>2</x:v>
      </x:c>
      <x:c r="J89" s="12" t="n">
        <x:v>0.05</x:v>
      </x:c>
      <x:c r="K89" s="12" t="n">
        <x:v>48300000</x:v>
      </x:c>
      <x:c r="L89" s="12" t="n">
        <x:v>17262316.3482</x:v>
      </x:c>
      <x:c r="M89" s="12" t="n">
        <x:v>22598.442694669757</x:v>
      </x:c>
      <x:c r="N89" s="12" t="n">
        <x:v>7.72380769817455</x:v>
      </x:c>
      <x:c r="O89" s="12" t="n">
        <x:v>62</x:v>
      </x:c>
      <x:c r="P89" s="12" t="n">
        <x:v>10</x:v>
      </x:c>
      <x:c r="Q89" s="12" t="str">
        <x:v>Conservative design envelope: C=62 MPa from MAT-002 static shear strength and b=10</x:v>
      </x:c>
      <x:c r="R89" s="12" t="n">
        <x:v>0.0225521781684421</x:v>
      </x:c>
      <x:c r="S89" s="12" t="str">
        <x:v>PASS</x:v>
      </x:c>
      <x:c r="T89" s="12" t="n">
        <x:v>0.014400319437274586</x:v>
      </x:c>
      <x:c r="U89" s="12" t="n">
        <x:v>9.610524459446481e-20</x:v>
      </x:c>
      <x:c r="V89" s="12" t="str">
        <x:v>SOURCED_CURVE_PASS</x:v>
      </x:c>
    </x:row>
    <x:row r="90" ht="66" hidden="0" customHeight="1">
      <x:c r="A90" s="12" t="str">
        <x:v>nominal_b10_split0</x:v>
      </x:c>
      <x:c r="B90" s="12" t="n">
        <x:v>54.6667</x:v>
      </x:c>
      <x:c r="C90" s="12" t="str">
        <x:v>forward</x:v>
      </x:c>
      <x:c r="D90" s="12" t="str">
        <x:v>fatigue_reinforced_legacy</x:v>
      </x:c>
      <x:c r="E90" s="12" t="str">
        <x:v>stiffness_based</x:v>
      </x:c>
      <x:c r="F90" s="12" t="n">
        <x:v>0</x:v>
      </x:c>
      <x:c r="G90" s="12" t="n">
        <x:v>0.5259813641279333</x:v>
      </x:c>
      <x:c r="H90" s="12" t="n">
        <x:v>0.5259813641279333</x:v>
      </x:c>
      <x:c r="I90" s="12" t="n">
        <x:v>2</x:v>
      </x:c>
      <x:c r="J90" s="12" t="n">
        <x:v>0.05</x:v>
      </x:c>
      <x:c r="K90" s="12" t="n">
        <x:v>48300000</x:v>
      </x:c>
      <x:c r="L90" s="12" t="n">
        <x:v>19154640.7962</x:v>
      </x:c>
      <x:c r="M90" s="12" t="n">
        <x:v>22598.442694669757</x:v>
      </x:c>
      <x:c r="N90" s="12" t="n">
        <x:v>7.322457577653735</x:v>
      </x:c>
      <x:c r="O90" s="12" t="n">
        <x:v>62</x:v>
      </x:c>
      <x:c r="P90" s="12" t="n">
        <x:v>10</x:v>
      </x:c>
      <x:c r="Q90" s="12" t="str">
        <x:v>Conservative design envelope: C=62 MPa from MAT-002 static shear strength and b=10</x:v>
      </x:c>
      <x:c r="R90" s="12" t="n">
        <x:v>0.013226429213481607</x:v>
      </x:c>
      <x:c r="S90" s="12" t="str">
        <x:v>PASS</x:v>
      </x:c>
      <x:c r="T90" s="12" t="n">
        <x:v>0.013652039551557811</x:v>
      </x:c>
      <x:c r="U90" s="12" t="n">
        <x:v>5.044266961062777e-20</x:v>
      </x:c>
      <x:c r="V90" s="12" t="str">
        <x:v>SOURCED_CURVE_PASS</x:v>
      </x:c>
    </x:row>
    <x:row r="91" ht="66" hidden="0" customHeight="1">
      <x:c r="A91" s="12" t="str">
        <x:v>nominal_b10_split0</x:v>
      </x:c>
      <x:c r="B91" s="12" t="n">
        <x:v>54.6667</x:v>
      </x:c>
      <x:c r="C91" s="12" t="str">
        <x:v>aft</x:v>
      </x:c>
      <x:c r="D91" s="12" t="str">
        <x:v>fatigue_reinforced_legacy</x:v>
      </x:c>
      <x:c r="E91" s="12" t="str">
        <x:v>stiffness_based</x:v>
      </x:c>
      <x:c r="F91" s="12" t="n">
        <x:v>0</x:v>
      </x:c>
      <x:c r="G91" s="12" t="n">
        <x:v>0.47401863587206666</x:v>
      </x:c>
      <x:c r="H91" s="12" t="n">
        <x:v>0.4740186358720667</x:v>
      </x:c>
      <x:c r="I91" s="12" t="n">
        <x:v>2</x:v>
      </x:c>
      <x:c r="J91" s="12" t="n">
        <x:v>0.05</x:v>
      </x:c>
      <x:c r="K91" s="12" t="n">
        <x:v>48300000</x:v>
      </x:c>
      <x:c r="L91" s="12" t="n">
        <x:v>17262316.3482</x:v>
      </x:c>
      <x:c r="M91" s="12" t="n">
        <x:v>22598.442694669757</x:v>
      </x:c>
      <x:c r="N91" s="12" t="n">
        <x:v>7.322457577653738</x:v>
      </x:c>
      <x:c r="O91" s="12" t="n">
        <x:v>62</x:v>
      </x:c>
      <x:c r="P91" s="12" t="n">
        <x:v>10</x:v>
      </x:c>
      <x:c r="Q91" s="12" t="str">
        <x:v>Conservative design envelope: C=62 MPa from MAT-002 static shear strength and b=10</x:v>
      </x:c>
      <x:c r="R91" s="12" t="n">
        <x:v>0.01322642921348165</x:v>
      </x:c>
      <x:c r="S91" s="12" t="str">
        <x:v>PASS</x:v>
      </x:c>
      <x:c r="T91" s="12" t="n">
        <x:v>0.013652039551557815</x:v>
      </x:c>
      <x:c r="U91" s="12" t="n">
        <x:v>5.04426696106279e-20</x:v>
      </x:c>
      <x:c r="V91" s="12" t="str">
        <x:v>SOURCED_CURVE_PASS</x:v>
      </x:c>
    </x:row>
    <x:row r="92" ht="66" hidden="0" customHeight="1">
      <x:c r="A92" s="12" t="str">
        <x:v>nominal_b10_split0</x:v>
      </x:c>
      <x:c r="B92" s="12" t="n">
        <x:v>57.4</x:v>
      </x:c>
      <x:c r="C92" s="12" t="str">
        <x:v>forward</x:v>
      </x:c>
      <x:c r="D92" s="12" t="str">
        <x:v>day4_baseline</x:v>
      </x:c>
      <x:c r="E92" s="12" t="str">
        <x:v>stiffness_based</x:v>
      </x:c>
      <x:c r="F92" s="12" t="n">
        <x:v>0</x:v>
      </x:c>
      <x:c r="G92" s="12" t="n">
        <x:v>0.5287655912785056</x:v>
      </x:c>
      <x:c r="H92" s="12" t="n">
        <x:v>0.5287655912785056</x:v>
      </x:c>
      <x:c r="I92" s="12" t="n">
        <x:v>2</x:v>
      </x:c>
      <x:c r="J92" s="12" t="n">
        <x:v>0.05</x:v>
      </x:c>
      <x:c r="K92" s="12" t="n">
        <x:v>48300000</x:v>
      </x:c>
      <x:c r="L92" s="12" t="n">
        <x:v>17020456.32</x:v>
      </x:c>
      <x:c r="M92" s="12" t="n">
        <x:v>11370.47410334273</x:v>
      </x:c>
      <x:c r="N92" s="12" t="n">
        <x:v>4.168238566707081</x:v>
      </x:c>
      <x:c r="O92" s="12" t="n">
        <x:v>62</x:v>
      </x:c>
      <x:c r="P92" s="12" t="n">
        <x:v>10</x:v>
      </x:c>
      <x:c r="Q92" s="12" t="str">
        <x:v>Conservative design envelope: C=62 MPa from MAT-002 static shear strength and b=10</x:v>
      </x:c>
      <x:c r="R92" s="12" t="n">
        <x:v>0.00004724976414257012</x:v>
      </x:c>
      <x:c r="S92" s="12" t="str">
        <x:v>PASS</x:v>
      </x:c>
      <x:c r="T92" s="12" t="n">
        <x:v>0.0077712922430132015</x:v>
      </x:c>
      <x:c r="U92" s="12" t="n">
        <x:v>5.581747143913015e-23</x:v>
      </x:c>
      <x:c r="V92" s="12" t="str">
        <x:v>SOURCED_CURVE_PASS</x:v>
      </x:c>
    </x:row>
    <x:row r="93" ht="66" hidden="0" customHeight="1">
      <x:c r="A93" s="12" t="str">
        <x:v>nominal_b10_split0</x:v>
      </x:c>
      <x:c r="B93" s="12" t="n">
        <x:v>57.4</x:v>
      </x:c>
      <x:c r="C93" s="12" t="str">
        <x:v>aft</x:v>
      </x:c>
      <x:c r="D93" s="12" t="str">
        <x:v>day4_baseline</x:v>
      </x:c>
      <x:c r="E93" s="12" t="str">
        <x:v>stiffness_based</x:v>
      </x:c>
      <x:c r="F93" s="12" t="n">
        <x:v>0</x:v>
      </x:c>
      <x:c r="G93" s="12" t="n">
        <x:v>0.4712344087214944</x:v>
      </x:c>
      <x:c r="H93" s="12" t="n">
        <x:v>0.47123440872149436</x:v>
      </x:c>
      <x:c r="I93" s="12" t="n">
        <x:v>2</x:v>
      </x:c>
      <x:c r="J93" s="12" t="n">
        <x:v>0.05</x:v>
      </x:c>
      <x:c r="K93" s="12" t="n">
        <x:v>48300000</x:v>
      </x:c>
      <x:c r="L93" s="12" t="n">
        <x:v>15168582.8322</x:v>
      </x:c>
      <x:c r="M93" s="12" t="n">
        <x:v>11370.47410334273</x:v>
      </x:c>
      <x:c r="N93" s="12" t="n">
        <x:v>4.16823856670708</x:v>
      </x:c>
      <x:c r="O93" s="12" t="n">
        <x:v>62</x:v>
      </x:c>
      <x:c r="P93" s="12" t="n">
        <x:v>10</x:v>
      </x:c>
      <x:c r="Q93" s="12" t="str">
        <x:v>Conservative design envelope: C=62 MPa from MAT-002 static shear strength and b=10</x:v>
      </x:c>
      <x:c r="R93" s="12" t="n">
        <x:v>0.000047249764142569974</x:v>
      </x:c>
      <x:c r="S93" s="12" t="str">
        <x:v>PASS</x:v>
      </x:c>
      <x:c r="T93" s="12" t="n">
        <x:v>0.007771292243013201</x:v>
      </x:c>
      <x:c r="U93" s="12" t="n">
        <x:v>5.581747143913015e-23</x:v>
      </x:c>
      <x:c r="V93" s="12" t="str">
        <x:v>SOURCED_CURVE_PASS</x:v>
      </x:c>
    </x:row>
    <x:row r="94" ht="66" hidden="0" customHeight="1">
      <x:c r="A94" s="12" t="str">
        <x:v>nominal_b10_equal50</x:v>
      </x:c>
      <x:c r="B94" s="12" t="n">
        <x:v>57.4</x:v>
      </x:c>
      <x:c r="C94" s="12" t="str">
        <x:v>forward</x:v>
      </x:c>
      <x:c r="D94" s="12" t="str">
        <x:v>day4_baseline</x:v>
      </x:c>
      <x:c r="E94" s="12" t="str">
        <x:v>equal_50_50</x:v>
      </x:c>
      <x:c r="F94" s="12" t="n">
        <x:v>0</x:v>
      </x:c>
      <x:c r="G94" s="12" t="n">
        <x:v>0.5</x:v>
      </x:c>
      <x:c r="H94" s="12" t="n">
        <x:v>0.5</x:v>
      </x:c>
      <x:c r="I94" s="12" t="n">
        <x:v>2</x:v>
      </x:c>
      <x:c r="J94" s="12" t="n">
        <x:v>0.05</x:v>
      </x:c>
      <x:c r="K94" s="12" t="n">
        <x:v>48300000</x:v>
      </x:c>
      <x:c r="L94" s="12" t="n">
        <x:v>17020456.32</x:v>
      </x:c>
      <x:c r="M94" s="12" t="n">
        <x:v>11370.47410334273</x:v>
      </x:c>
      <x:c r="N94" s="12" t="n">
        <x:v>3.9414805307477274</x:v>
      </x:c>
      <x:c r="O94" s="12" t="n">
        <x:v>62</x:v>
      </x:c>
      <x:c r="P94" s="12" t="n">
        <x:v>10</x:v>
      </x:c>
      <x:c r="Q94" s="12" t="str">
        <x:v>Conservative design envelope: C=62 MPa from MAT-002 static shear strength and b=10</x:v>
      </x:c>
      <x:c r="R94" s="12" t="n">
        <x:v>0.00002700647026350756</x:v>
      </x:c>
      <x:c r="S94" s="12" t="str">
        <x:v>PASS</x:v>
      </x:c>
      <x:c r="T94" s="12" t="n">
        <x:v>0.007348523023427967</x:v>
      </x:c>
      <x:c r="U94" s="12" t="n">
        <x:v>2.8399357920018726e-23</x:v>
      </x:c>
      <x:c r="V94" s="12" t="str">
        <x:v>SOURCED_CURVE_PASS</x:v>
      </x:c>
    </x:row>
    <x:row r="95" ht="66" hidden="0" customHeight="1">
      <x:c r="A95" s="12" t="str">
        <x:v>nominal_b10_equal50</x:v>
      </x:c>
      <x:c r="B95" s="12" t="n">
        <x:v>57.4</x:v>
      </x:c>
      <x:c r="C95" s="12" t="str">
        <x:v>aft</x:v>
      </x:c>
      <x:c r="D95" s="12" t="str">
        <x:v>day4_baseline</x:v>
      </x:c>
      <x:c r="E95" s="12" t="str">
        <x:v>equal_50_50</x:v>
      </x:c>
      <x:c r="F95" s="12" t="n">
        <x:v>0</x:v>
      </x:c>
      <x:c r="G95" s="12" t="n">
        <x:v>0.5</x:v>
      </x:c>
      <x:c r="H95" s="12" t="n">
        <x:v>0.5</x:v>
      </x:c>
      <x:c r="I95" s="12" t="n">
        <x:v>2</x:v>
      </x:c>
      <x:c r="J95" s="12" t="n">
        <x:v>0.05</x:v>
      </x:c>
      <x:c r="K95" s="12" t="n">
        <x:v>48300000</x:v>
      </x:c>
      <x:c r="L95" s="12" t="n">
        <x:v>15168582.8322</x:v>
      </x:c>
      <x:c r="M95" s="12" t="n">
        <x:v>11370.47410334273</x:v>
      </x:c>
      <x:c r="N95" s="12" t="n">
        <x:v>4.422680612411055</x:v>
      </x:c>
      <x:c r="O95" s="12" t="n">
        <x:v>62</x:v>
      </x:c>
      <x:c r="P95" s="12" t="n">
        <x:v>10</x:v>
      </x:c>
      <x:c r="Q95" s="12" t="str">
        <x:v>Conservative design envelope: C=62 MPa from MAT-002 static shear strength and b=10</x:v>
      </x:c>
      <x:c r="R95" s="12" t="n">
        <x:v>0.00008545347824110826</x:v>
      </x:c>
      <x:c r="S95" s="12" t="str">
        <x:v>PASS</x:v>
      </x:c>
      <x:c r="T95" s="12" t="n">
        <x:v>0.008245675718054511</x:v>
      </x:c>
      <x:c r="U95" s="12" t="n">
        <x:v>1.1418917078795337e-22</x:v>
      </x:c>
      <x:c r="V95" s="12" t="str">
        <x:v>SOURCED_CURVE_PASS</x:v>
      </x:c>
    </x:row>
    <x:row r="96" ht="66" hidden="0" customHeight="1">
      <x:c r="A96" s="12" t="str">
        <x:v>nominal_b10_split0</x:v>
      </x:c>
      <x:c r="B96" s="12" t="n">
        <x:v>57.4</x:v>
      </x:c>
      <x:c r="C96" s="12" t="str">
        <x:v>forward</x:v>
      </x:c>
      <x:c r="D96" s="12" t="str">
        <x:v>fatigue_reinforced_legacy</x:v>
      </x:c>
      <x:c r="E96" s="12" t="str">
        <x:v>stiffness_based</x:v>
      </x:c>
      <x:c r="F96" s="12" t="n">
        <x:v>0</x:v>
      </x:c>
      <x:c r="G96" s="12" t="n">
        <x:v>0.5287655912785056</x:v>
      </x:c>
      <x:c r="H96" s="12" t="n">
        <x:v>0.5287655912785056</x:v>
      </x:c>
      <x:c r="I96" s="12" t="n">
        <x:v>2</x:v>
      </x:c>
      <x:c r="J96" s="12" t="n">
        <x:v>0.05</x:v>
      </x:c>
      <x:c r="K96" s="12" t="n">
        <x:v>48300000</x:v>
      </x:c>
      <x:c r="L96" s="12" t="n">
        <x:v>17020456.32</x:v>
      </x:c>
      <x:c r="M96" s="12" t="n">
        <x:v>11370.47410334273</x:v>
      </x:c>
      <x:c r="N96" s="12" t="n">
        <x:v>4.168238566707081</x:v>
      </x:c>
      <x:c r="O96" s="12" t="n">
        <x:v>62</x:v>
      </x:c>
      <x:c r="P96" s="12" t="n">
        <x:v>10</x:v>
      </x:c>
      <x:c r="Q96" s="12" t="str">
        <x:v>Conservative design envelope: C=62 MPa from MAT-002 static shear strength and b=10</x:v>
      </x:c>
      <x:c r="R96" s="12" t="n">
        <x:v>0.00004724976414257012</x:v>
      </x:c>
      <x:c r="S96" s="12" t="str">
        <x:v>PASS</x:v>
      </x:c>
      <x:c r="T96" s="12" t="n">
        <x:v>0.0077712922430132015</x:v>
      </x:c>
      <x:c r="U96" s="12" t="n">
        <x:v>5.581747143913015e-23</x:v>
      </x:c>
      <x:c r="V96" s="12" t="str">
        <x:v>SOURCED_CURVE_PASS</x:v>
      </x:c>
    </x:row>
    <x:row r="97" ht="66" hidden="0" customHeight="1">
      <x:c r="A97" s="12" t="str">
        <x:v>nominal_b10_split0</x:v>
      </x:c>
      <x:c r="B97" s="12" t="n">
        <x:v>57.4</x:v>
      </x:c>
      <x:c r="C97" s="12" t="str">
        <x:v>aft</x:v>
      </x:c>
      <x:c r="D97" s="12" t="str">
        <x:v>fatigue_reinforced_legacy</x:v>
      </x:c>
      <x:c r="E97" s="12" t="str">
        <x:v>stiffness_based</x:v>
      </x:c>
      <x:c r="F97" s="12" t="n">
        <x:v>0</x:v>
      </x:c>
      <x:c r="G97" s="12" t="n">
        <x:v>0.4712344087214944</x:v>
      </x:c>
      <x:c r="H97" s="12" t="n">
        <x:v>0.47123440872149436</x:v>
      </x:c>
      <x:c r="I97" s="12" t="n">
        <x:v>2</x:v>
      </x:c>
      <x:c r="J97" s="12" t="n">
        <x:v>0.05</x:v>
      </x:c>
      <x:c r="K97" s="12" t="n">
        <x:v>48300000</x:v>
      </x:c>
      <x:c r="L97" s="12" t="n">
        <x:v>15168582.8322</x:v>
      </x:c>
      <x:c r="M97" s="12" t="n">
        <x:v>11370.47410334273</x:v>
      </x:c>
      <x:c r="N97" s="12" t="n">
        <x:v>4.16823856670708</x:v>
      </x:c>
      <x:c r="O97" s="12" t="n">
        <x:v>62</x:v>
      </x:c>
      <x:c r="P97" s="12" t="n">
        <x:v>10</x:v>
      </x:c>
      <x:c r="Q97" s="12" t="str">
        <x:v>Conservative design envelope: C=62 MPa from MAT-002 static shear strength and b=10</x:v>
      </x:c>
      <x:c r="R97" s="12" t="n">
        <x:v>0.000047249764142569974</x:v>
      </x:c>
      <x:c r="S97" s="12" t="str">
        <x:v>PASS</x:v>
      </x:c>
      <x:c r="T97" s="12" t="n">
        <x:v>0.007771292243013201</x:v>
      </x:c>
      <x:c r="U97" s="12" t="n">
        <x:v>5.581747143913015e-23</x:v>
      </x:c>
      <x:c r="V97" s="12" t="str">
        <x:v>SOURCED_CURVE_PASS</x:v>
      </x:c>
    </x:row>
    <x:row r="98" ht="66" hidden="0" customHeight="1">
      <x:c r="A98" s="12" t="str">
        <x:v>nominal_b10_split0</x:v>
      </x:c>
      <x:c r="B98" s="12" t="n">
        <x:v>60.1333</x:v>
      </x:c>
      <x:c r="C98" s="12" t="str">
        <x:v>forward</x:v>
      </x:c>
      <x:c r="D98" s="12" t="str">
        <x:v>day4_baseline</x:v>
      </x:c>
      <x:c r="E98" s="12" t="str">
        <x:v>stiffness_based</x:v>
      </x:c>
      <x:c r="F98" s="12" t="n">
        <x:v>0</x:v>
      </x:c>
      <x:c r="G98" s="12" t="n">
        <x:v>0.5410710634895289</x:v>
      </x:c>
      <x:c r="H98" s="12" t="n">
        <x:v>0.5410710634895289</x:v>
      </x:c>
      <x:c r="I98" s="12" t="n">
        <x:v>2</x:v>
      </x:c>
      <x:c r="J98" s="12" t="n">
        <x:v>0.05</x:v>
      </x:c>
      <x:c r="K98" s="12" t="n">
        <x:v>48300000</x:v>
      </x:c>
      <x:c r="L98" s="12" t="n">
        <x:v>10438365.1743</x:v>
      </x:c>
      <x:c r="M98" s="12" t="n">
        <x:v>10802.088976694842</x:v>
      </x:c>
      <x:c r="N98" s="12" t="n">
        <x:v>6.607110648135068</x:v>
      </x:c>
      <x:c r="O98" s="12" t="n">
        <x:v>62</x:v>
      </x:c>
      <x:c r="P98" s="12" t="n">
        <x:v>10</x:v>
      </x:c>
      <x:c r="Q98" s="12" t="str">
        <x:v>Conservative design envelope: C=62 MPa from MAT-002 static shear strength and b=10</x:v>
      </x:c>
      <x:c r="R98" s="12" t="n">
        <x:v>0.004731401119138513</x:v>
      </x:c>
      <x:c r="S98" s="12" t="str">
        <x:v>PASS</x:v>
      </x:c>
      <x:c r="T98" s="12" t="n">
        <x:v>0.012318341886353515</x:v>
      </x:c>
      <x:c r="U98" s="12" t="n">
        <x:v>1.4570787609498963e-20</x:v>
      </x:c>
      <x:c r="V98" s="12" t="str">
        <x:v>SOURCED_CURVE_PASS</x:v>
      </x:c>
    </x:row>
    <x:row r="99" ht="66" hidden="0" customHeight="1">
      <x:c r="A99" s="12" t="str">
        <x:v>nominal_b10_split0</x:v>
      </x:c>
      <x:c r="B99" s="12" t="n">
        <x:v>60.1333</x:v>
      </x:c>
      <x:c r="C99" s="12" t="str">
        <x:v>aft</x:v>
      </x:c>
      <x:c r="D99" s="12" t="str">
        <x:v>day4_baseline</x:v>
      </x:c>
      <x:c r="E99" s="12" t="str">
        <x:v>stiffness_based</x:v>
      </x:c>
      <x:c r="F99" s="12" t="n">
        <x:v>0</x:v>
      </x:c>
      <x:c r="G99" s="12" t="n">
        <x:v>0.4589289365104712</x:v>
      </x:c>
      <x:c r="H99" s="12" t="n">
        <x:v>0.45892893651047106</x:v>
      </x:c>
      <x:c r="I99" s="12" t="n">
        <x:v>2</x:v>
      </x:c>
      <x:c r="J99" s="12" t="n">
        <x:v>0.05</x:v>
      </x:c>
      <x:c r="K99" s="12" t="n">
        <x:v>48300000</x:v>
      </x:c>
      <x:c r="L99" s="12" t="n">
        <x:v>8853675.8877</x:v>
      </x:c>
      <x:c r="M99" s="12" t="n">
        <x:v>10802.088976694842</x:v>
      </x:c>
      <x:c r="N99" s="12" t="n">
        <x:v>6.607110648135065</x:v>
      </x:c>
      <x:c r="O99" s="12" t="n">
        <x:v>62</x:v>
      </x:c>
      <x:c r="P99" s="12" t="n">
        <x:v>10</x:v>
      </x:c>
      <x:c r="Q99" s="12" t="str">
        <x:v>Conservative design envelope: C=62 MPa from MAT-002 static shear strength and b=10</x:v>
      </x:c>
      <x:c r="R99" s="12" t="n">
        <x:v>0.004731401119138495</x:v>
      </x:c>
      <x:c r="S99" s="12" t="str">
        <x:v>PASS</x:v>
      </x:c>
      <x:c r="T99" s="12" t="n">
        <x:v>0.012318341886353511</x:v>
      </x:c>
      <x:c r="U99" s="12" t="n">
        <x:v>1.457078760949892e-20</x:v>
      </x:c>
      <x:c r="V99" s="12" t="str">
        <x:v>SOURCED_CURVE_PASS</x:v>
      </x:c>
    </x:row>
    <x:row r="100" ht="66" hidden="0" customHeight="1">
      <x:c r="A100" s="12" t="str">
        <x:v>nominal_b10_equal50</x:v>
      </x:c>
      <x:c r="B100" s="12" t="n">
        <x:v>60.1333</x:v>
      </x:c>
      <x:c r="C100" s="12" t="str">
        <x:v>forward</x:v>
      </x:c>
      <x:c r="D100" s="12" t="str">
        <x:v>day4_baseline</x:v>
      </x:c>
      <x:c r="E100" s="12" t="str">
        <x:v>equal_50_50</x:v>
      </x:c>
      <x:c r="F100" s="12" t="n">
        <x:v>0</x:v>
      </x:c>
      <x:c r="G100" s="12" t="n">
        <x:v>0.5</x:v>
      </x:c>
      <x:c r="H100" s="12" t="n">
        <x:v>0.5</x:v>
      </x:c>
      <x:c r="I100" s="12" t="n">
        <x:v>2</x:v>
      </x:c>
      <x:c r="J100" s="12" t="n">
        <x:v>0.05</x:v>
      </x:c>
      <x:c r="K100" s="12" t="n">
        <x:v>48300000</x:v>
      </x:c>
      <x:c r="L100" s="12" t="n">
        <x:v>10438365.1743</x:v>
      </x:c>
      <x:c r="M100" s="12" t="n">
        <x:v>10802.088976694842</x:v>
      </x:c>
      <x:c r="N100" s="12" t="n">
        <x:v>6.1055849166316865</x:v>
      </x:c>
      <x:c r="O100" s="12" t="n">
        <x:v>62</x:v>
      </x:c>
      <x:c r="P100" s="12" t="n">
        <x:v>10</x:v>
      </x:c>
      <x:c r="Q100" s="12" t="str">
        <x:v>Conservative design envelope: C=62 MPa from MAT-002 static shear strength and b=10</x:v>
      </x:c>
      <x:c r="R100" s="12" t="n">
        <x:v>0.002148556244355842</x:v>
      </x:c>
      <x:c r="S100" s="12" t="str">
        <x:v>PASS</x:v>
      </x:c>
      <x:c r="T100" s="12" t="n">
        <x:v>0.01138329391236416</x:v>
      </x:c>
      <x:c r="U100" s="12" t="n">
        <x:v>5.6147268597285425e-21</x:v>
      </x:c>
      <x:c r="V100" s="12" t="str">
        <x:v>SOURCED_CURVE_PASS</x:v>
      </x:c>
    </x:row>
    <x:row r="101" ht="66" hidden="0" customHeight="1">
      <x:c r="A101" s="12" t="str">
        <x:v>nominal_b10_equal50</x:v>
      </x:c>
      <x:c r="B101" s="12" t="n">
        <x:v>60.1333</x:v>
      </x:c>
      <x:c r="C101" s="12" t="str">
        <x:v>aft</x:v>
      </x:c>
      <x:c r="D101" s="12" t="str">
        <x:v>day4_baseline</x:v>
      </x:c>
      <x:c r="E101" s="12" t="str">
        <x:v>equal_50_50</x:v>
      </x:c>
      <x:c r="F101" s="12" t="n">
        <x:v>0</x:v>
      </x:c>
      <x:c r="G101" s="12" t="n">
        <x:v>0.5</x:v>
      </x:c>
      <x:c r="H101" s="12" t="n">
        <x:v>0.5</x:v>
      </x:c>
      <x:c r="I101" s="12" t="n">
        <x:v>2</x:v>
      </x:c>
      <x:c r="J101" s="12" t="n">
        <x:v>0.05</x:v>
      </x:c>
      <x:c r="K101" s="12" t="n">
        <x:v>48300000</x:v>
      </x:c>
      <x:c r="L101" s="12" t="n">
        <x:v>8853675.8877</x:v>
      </x:c>
      <x:c r="M101" s="12" t="n">
        <x:v>10802.088976694842</x:v>
      </x:c>
      <x:c r="N101" s="12" t="n">
        <x:v>7.198402761844933</x:v>
      </x:c>
      <x:c r="O101" s="12" t="n">
        <x:v>62</x:v>
      </x:c>
      <x:c r="P101" s="12" t="n">
        <x:v>10</x:v>
      </x:c>
      <x:c r="Q101" s="12" t="str">
        <x:v>Conservative design envelope: C=62 MPa from MAT-002 static shear strength and b=10</x:v>
      </x:c>
      <x:c r="R101" s="12" t="n">
        <x:v>0.011148986601101002</x:v>
      </x:c>
      <x:c r="S101" s="12" t="str">
        <x:v>PASS</x:v>
      </x:c>
      <x:c r="T101" s="12" t="n">
        <x:v>0.013420750911914282</x:v>
      </x:c>
      <x:c r="U101" s="12" t="n">
        <x:v>4.103512333495626e-20</x:v>
      </x:c>
      <x:c r="V101" s="12" t="str">
        <x:v>SOURCED_CURVE_PASS</x:v>
      </x:c>
    </x:row>
    <x:row r="102" ht="66" hidden="0" customHeight="1">
      <x:c r="A102" s="12" t="str">
        <x:v>nominal_b10_split0</x:v>
      </x:c>
      <x:c r="B102" s="12" t="n">
        <x:v>60.1333</x:v>
      </x:c>
      <x:c r="C102" s="12" t="str">
        <x:v>forward</x:v>
      </x:c>
      <x:c r="D102" s="12" t="str">
        <x:v>fatigue_reinforced_legacy</x:v>
      </x:c>
      <x:c r="E102" s="12" t="str">
        <x:v>stiffness_based</x:v>
      </x:c>
      <x:c r="F102" s="12" t="n">
        <x:v>0</x:v>
      </x:c>
      <x:c r="G102" s="12" t="n">
        <x:v>0.5410710634895289</x:v>
      </x:c>
      <x:c r="H102" s="12" t="n">
        <x:v>0.5410710634895289</x:v>
      </x:c>
      <x:c r="I102" s="12" t="n">
        <x:v>2</x:v>
      </x:c>
      <x:c r="J102" s="12" t="n">
        <x:v>0.05</x:v>
      </x:c>
      <x:c r="K102" s="12" t="n">
        <x:v>48300000</x:v>
      </x:c>
      <x:c r="L102" s="12" t="n">
        <x:v>10438365.1743</x:v>
      </x:c>
      <x:c r="M102" s="12" t="n">
        <x:v>10802.088976694842</x:v>
      </x:c>
      <x:c r="N102" s="12" t="n">
        <x:v>6.607110648135068</x:v>
      </x:c>
      <x:c r="O102" s="12" t="n">
        <x:v>62</x:v>
      </x:c>
      <x:c r="P102" s="12" t="n">
        <x:v>10</x:v>
      </x:c>
      <x:c r="Q102" s="12" t="str">
        <x:v>Conservative design envelope: C=62 MPa from MAT-002 static shear strength and b=10</x:v>
      </x:c>
      <x:c r="R102" s="12" t="n">
        <x:v>0.004731401119138513</x:v>
      </x:c>
      <x:c r="S102" s="12" t="str">
        <x:v>PASS</x:v>
      </x:c>
      <x:c r="T102" s="12" t="n">
        <x:v>0.012318341886353515</x:v>
      </x:c>
      <x:c r="U102" s="12" t="n">
        <x:v>1.4570787609498963e-20</x:v>
      </x:c>
      <x:c r="V102" s="12" t="str">
        <x:v>SOURCED_CURVE_PASS</x:v>
      </x:c>
    </x:row>
    <x:row r="103" ht="66" hidden="0" customHeight="1">
      <x:c r="A103" s="12" t="str">
        <x:v>nominal_b10_split0</x:v>
      </x:c>
      <x:c r="B103" s="12" t="n">
        <x:v>60.1333</x:v>
      </x:c>
      <x:c r="C103" s="12" t="str">
        <x:v>aft</x:v>
      </x:c>
      <x:c r="D103" s="12" t="str">
        <x:v>fatigue_reinforced_legacy</x:v>
      </x:c>
      <x:c r="E103" s="12" t="str">
        <x:v>stiffness_based</x:v>
      </x:c>
      <x:c r="F103" s="12" t="n">
        <x:v>0</x:v>
      </x:c>
      <x:c r="G103" s="12" t="n">
        <x:v>0.4589289365104712</x:v>
      </x:c>
      <x:c r="H103" s="12" t="n">
        <x:v>0.45892893651047106</x:v>
      </x:c>
      <x:c r="I103" s="12" t="n">
        <x:v>2</x:v>
      </x:c>
      <x:c r="J103" s="12" t="n">
        <x:v>0.05</x:v>
      </x:c>
      <x:c r="K103" s="12" t="n">
        <x:v>48300000</x:v>
      </x:c>
      <x:c r="L103" s="12" t="n">
        <x:v>8853675.8877</x:v>
      </x:c>
      <x:c r="M103" s="12" t="n">
        <x:v>10802.088976694842</x:v>
      </x:c>
      <x:c r="N103" s="12" t="n">
        <x:v>6.607110648135065</x:v>
      </x:c>
      <x:c r="O103" s="12" t="n">
        <x:v>62</x:v>
      </x:c>
      <x:c r="P103" s="12" t="n">
        <x:v>10</x:v>
      </x:c>
      <x:c r="Q103" s="12" t="str">
        <x:v>Conservative design envelope: C=62 MPa from MAT-002 static shear strength and b=10</x:v>
      </x:c>
      <x:c r="R103" s="12" t="n">
        <x:v>0.004731401119138495</x:v>
      </x:c>
      <x:c r="S103" s="12" t="str">
        <x:v>PASS</x:v>
      </x:c>
      <x:c r="T103" s="12" t="n">
        <x:v>0.012318341886353511</x:v>
      </x:c>
      <x:c r="U103" s="12" t="n">
        <x:v>1.457078760949892e-20</x:v>
      </x:c>
      <x:c r="V103" s="12" t="str">
        <x:v>SOURCED_CURVE_PASS</x:v>
      </x:c>
    </x:row>
    <x:row r="104" ht="66" hidden="0" customHeight="1">
      <x:c r="A104" s="12" t="str">
        <x:v>nominal_b10_split0</x:v>
      </x:c>
      <x:c r="B104" s="12" t="n">
        <x:v>1.3667</x:v>
      </x:c>
      <x:c r="C104" s="12" t="str">
        <x:v>forward</x:v>
      </x:c>
      <x:c r="D104" s="12" t="str">
        <x:v>fatigue_robust_final</x:v>
      </x:c>
      <x:c r="E104" s="12" t="str">
        <x:v>stiffness_based</x:v>
      </x:c>
      <x:c r="F104" s="12" t="n">
        <x:v>0</x:v>
      </x:c>
      <x:c r="G104" s="12" t="n">
        <x:v>0.4550030506406345</x:v>
      </x:c>
      <x:c r="H104" s="12" t="n">
        <x:v>0.4550030506406345</x:v>
      </x:c>
      <x:c r="I104" s="12" t="n">
        <x:v>5</x:v>
      </x:c>
      <x:c r="J104" s="12" t="n">
        <x:v>0.06</x:v>
      </x:c>
      <x:c r="K104" s="12" t="n">
        <x:v>119320000</x:v>
      </x:c>
      <x:c r="L104" s="12" t="n">
        <x:v>397617394.4289797</x:v>
      </x:c>
      <x:c r="M104" s="12" t="n">
        <x:v>242944.6937188257</x:v>
      </x:c>
      <x:c r="N104" s="12" t="n">
        <x:v>3.280487283172469</x:v>
      </x:c>
      <x:c r="O104" s="12" t="n">
        <x:v>62</x:v>
      </x:c>
      <x:c r="P104" s="12" t="n">
        <x:v>10</x:v>
      </x:c>
      <x:c r="Q104" s="12" t="str">
        <x:v>Conservative design envelope: C=62 MPa from MAT-002 static shear strength and b=10</x:v>
      </x:c>
      <x:c r="R104" s="12" t="n">
        <x:v>0.0000043078200625659465</x:v>
      </x:c>
      <x:c r="S104" s="12" t="str">
        <x:v>PASS</x:v>
      </x:c>
      <x:c r="T104" s="12" t="n">
        <x:v>0.0061161627313385016</x:v>
      </x:c>
      <x:c r="U104" s="12" t="n">
        <x:v>3.092277878409407e-24</x:v>
      </x:c>
      <x:c r="V104" s="12" t="str">
        <x:v>SOURCED_CURVE_PASS</x:v>
      </x:c>
    </x:row>
    <x:row r="105" ht="66" hidden="0" customHeight="1">
      <x:c r="A105" s="12" t="str">
        <x:v>nominal_b10_split0</x:v>
      </x:c>
      <x:c r="B105" s="12" t="n">
        <x:v>1.3667</x:v>
      </x:c>
      <x:c r="C105" s="12" t="str">
        <x:v>aft</x:v>
      </x:c>
      <x:c r="D105" s="12" t="str">
        <x:v>fatigue_robust_final</x:v>
      </x:c>
      <x:c r="E105" s="12" t="str">
        <x:v>stiffness_based</x:v>
      </x:c>
      <x:c r="F105" s="12" t="n">
        <x:v>0</x:v>
      </x:c>
      <x:c r="G105" s="12" t="n">
        <x:v>0.5449969493593654</x:v>
      </x:c>
      <x:c r="H105" s="12" t="n">
        <x:v>0.5449969493593655</x:v>
      </x:c>
      <x:c r="I105" s="12" t="n">
        <x:v>6</x:v>
      </x:c>
      <x:c r="J105" s="12" t="n">
        <x:v>0.06</x:v>
      </x:c>
      <x:c r="K105" s="12" t="n">
        <x:v>142920000</x:v>
      </x:c>
      <x:c r="L105" s="12" t="n">
        <x:v>476261129.833974</x:v>
      </x:c>
      <x:c r="M105" s="12" t="n">
        <x:v>242944.6937188257</x:v>
      </x:c>
      <x:c r="N105" s="12" t="n">
        <x:v>3.280487283172469</x:v>
      </x:c>
      <x:c r="O105" s="12" t="n">
        <x:v>62</x:v>
      </x:c>
      <x:c r="P105" s="12" t="n">
        <x:v>10</x:v>
      </x:c>
      <x:c r="Q105" s="12" t="str">
        <x:v>Conservative design envelope: C=62 MPa from MAT-002 static shear strength and b=10</x:v>
      </x:c>
      <x:c r="R105" s="12" t="n">
        <x:v>0.0000043078200625659465</x:v>
      </x:c>
      <x:c r="S105" s="12" t="str">
        <x:v>PASS</x:v>
      </x:c>
      <x:c r="T105" s="12" t="n">
        <x:v>0.0061161627313385016</x:v>
      </x:c>
      <x:c r="U105" s="12" t="n">
        <x:v>3.092277878409407e-24</x:v>
      </x:c>
      <x:c r="V105" s="12" t="str">
        <x:v>SOURCED_CURVE_PASS</x:v>
      </x:c>
    </x:row>
    <x:row r="106" ht="66" hidden="0" customHeight="1">
      <x:c r="A106" s="12" t="str">
        <x:v>nominal_b10_split0</x:v>
      </x:c>
      <x:c r="B106" s="12" t="n">
        <x:v>4.1</x:v>
      </x:c>
      <x:c r="C106" s="12" t="str">
        <x:v>forward</x:v>
      </x:c>
      <x:c r="D106" s="12" t="str">
        <x:v>fatigue_robust_final</x:v>
      </x:c>
      <x:c r="E106" s="12" t="str">
        <x:v>stiffness_based</x:v>
      </x:c>
      <x:c r="F106" s="12" t="n">
        <x:v>0</x:v>
      </x:c>
      <x:c r="G106" s="12" t="n">
        <x:v>0.45500305064063457</x:v>
      </x:c>
      <x:c r="H106" s="12" t="n">
        <x:v>0.45500305064063457</x:v>
      </x:c>
      <x:c r="I106" s="12" t="n">
        <x:v>5</x:v>
      </x:c>
      <x:c r="J106" s="12" t="n">
        <x:v>0.06</x:v>
      </x:c>
      <x:c r="K106" s="12" t="n">
        <x:v>119320000</x:v>
      </x:c>
      <x:c r="L106" s="12" t="n">
        <x:v>454246306.640428</x:v>
      </x:c>
      <x:c r="M106" s="12" t="n">
        <x:v>240723.97294784058</x:v>
      </x:c>
      <x:c r="N106" s="12" t="n">
        <x:v>2.845275035456862</x:v>
      </x:c>
      <x:c r="O106" s="12" t="n">
        <x:v>62</x:v>
      </x:c>
      <x:c r="P106" s="12" t="n">
        <x:v>10</x:v>
      </x:c>
      <x:c r="Q106" s="12" t="str">
        <x:v>Conservative design envelope: C=62 MPa from MAT-002 static shear strength and b=10</x:v>
      </x:c>
      <x:c r="R106" s="12" t="n">
        <x:v>0.0000010378067778811234</x:v>
      </x:c>
      <x:c r="S106" s="12" t="str">
        <x:v>PASS</x:v>
      </x:c>
      <x:c r="T106" s="12" t="n">
        <x:v>0.005304750066106014</x:v>
      </x:c>
      <x:c r="U106" s="12" t="n">
        <x:v>5.540693454948357e-25</x:v>
      </x:c>
      <x:c r="V106" s="12" t="str">
        <x:v>SOURCED_CURVE_PASS</x:v>
      </x:c>
    </x:row>
    <x:row r="107" ht="66" hidden="0" customHeight="1">
      <x:c r="A107" s="12" t="str">
        <x:v>nominal_b10_split0</x:v>
      </x:c>
      <x:c r="B107" s="12" t="n">
        <x:v>4.1</x:v>
      </x:c>
      <x:c r="C107" s="12" t="str">
        <x:v>aft</x:v>
      </x:c>
      <x:c r="D107" s="12" t="str">
        <x:v>fatigue_robust_final</x:v>
      </x:c>
      <x:c r="E107" s="12" t="str">
        <x:v>stiffness_based</x:v>
      </x:c>
      <x:c r="F107" s="12" t="n">
        <x:v>0</x:v>
      </x:c>
      <x:c r="G107" s="12" t="n">
        <x:v>0.5449969493593655</x:v>
      </x:c>
      <x:c r="H107" s="12" t="n">
        <x:v>0.5449969493593654</x:v>
      </x:c>
      <x:c r="I107" s="12" t="n">
        <x:v>6</x:v>
      </x:c>
      <x:c r="J107" s="12" t="n">
        <x:v>0.06</x:v>
      </x:c>
      <x:c r="K107" s="12" t="n">
        <x:v>142920000</x:v>
      </x:c>
      <x:c r="L107" s="12" t="n">
        <x:v>544090530.8837577</x:v>
      </x:c>
      <x:c r="M107" s="12" t="n">
        <x:v>240723.97294784058</x:v>
      </x:c>
      <x:c r="N107" s="12" t="n">
        <x:v>2.845275035456861</x:v>
      </x:c>
      <x:c r="O107" s="12" t="n">
        <x:v>62</x:v>
      </x:c>
      <x:c r="P107" s="12" t="n">
        <x:v>10</x:v>
      </x:c>
      <x:c r="Q107" s="12" t="str">
        <x:v>Conservative design envelope: C=62 MPa from MAT-002 static shear strength and b=10</x:v>
      </x:c>
      <x:c r="R107" s="12" t="n">
        <x:v>0.0000010378067778811192</x:v>
      </x:c>
      <x:c r="S107" s="12" t="str">
        <x:v>PASS</x:v>
      </x:c>
      <x:c r="T107" s="12" t="n">
        <x:v>0.005304750066106012</x:v>
      </x:c>
      <x:c r="U107" s="12" t="n">
        <x:v>5.540693454948319e-25</x:v>
      </x:c>
      <x:c r="V107" s="12" t="str">
        <x:v>SOURCED_CURVE_PASS</x:v>
      </x:c>
    </x:row>
    <x:row r="108" ht="66" hidden="0" customHeight="1">
      <x:c r="A108" s="12" t="str">
        <x:v>nominal_b10_split0</x:v>
      </x:c>
      <x:c r="B108" s="12" t="n">
        <x:v>6.8333</x:v>
      </x:c>
      <x:c r="C108" s="12" t="str">
        <x:v>forward</x:v>
      </x:c>
      <x:c r="D108" s="12" t="str">
        <x:v>fatigue_robust_final</x:v>
      </x:c>
      <x:c r="E108" s="12" t="str">
        <x:v>stiffness_based</x:v>
      </x:c>
      <x:c r="F108" s="12" t="n">
        <x:v>0</x:v>
      </x:c>
      <x:c r="G108" s="12" t="n">
        <x:v>0.4476434763754907</x:v>
      </x:c>
      <x:c r="H108" s="12" t="n">
        <x:v>0.4476434763754907</x:v>
      </x:c>
      <x:c r="I108" s="12" t="n">
        <x:v>5</x:v>
      </x:c>
      <x:c r="J108" s="12" t="n">
        <x:v>0.06</x:v>
      </x:c>
      <x:c r="K108" s="12" t="n">
        <x:v>119320000</x:v>
      </x:c>
      <x:c r="L108" s="12" t="n">
        <x:v>482172239.5489654</x:v>
      </x:c>
      <x:c r="M108" s="12" t="n">
        <x:v>237363.21960841876</x:v>
      </x:c>
      <x:c r="N108" s="12" t="n">
        <x:v>2.600312169122992</x:v>
      </x:c>
      <x:c r="O108" s="12" t="n">
        <x:v>62</x:v>
      </x:c>
      <x:c r="P108" s="12" t="n">
        <x:v>10</x:v>
      </x:c>
      <x:c r="Q108" s="12" t="str">
        <x:v>Conservative design envelope: C=62 MPa from MAT-002 static shear strength and b=10</x:v>
      </x:c>
      <x:c r="R108" s="12" t="n">
        <x:v>4.218216375373273e-7</x:v>
      </x:c>
      <x:c r="S108" s="12" t="str">
        <x:v>PASS</x:v>
      </x:c>
      <x:c r="T108" s="12" t="n">
        <x:v>0.004848039637347951</x:v>
      </x:c>
      <x:c r="U108" s="12" t="n">
        <x:v>1.8674588573649617e-25</x:v>
      </x:c>
      <x:c r="V108" s="12" t="str">
        <x:v>SOURCED_CURVE_PASS</x:v>
      </x:c>
    </x:row>
    <x:row r="109" ht="66" hidden="0" customHeight="1">
      <x:c r="A109" s="12" t="str">
        <x:v>nominal_b10_split0</x:v>
      </x:c>
      <x:c r="B109" s="12" t="n">
        <x:v>6.8333</x:v>
      </x:c>
      <x:c r="C109" s="12" t="str">
        <x:v>aft</x:v>
      </x:c>
      <x:c r="D109" s="12" t="str">
        <x:v>fatigue_robust_final</x:v>
      </x:c>
      <x:c r="E109" s="12" t="str">
        <x:v>stiffness_based</x:v>
      </x:c>
      <x:c r="F109" s="12" t="n">
        <x:v>0</x:v>
      </x:c>
      <x:c r="G109" s="12" t="n">
        <x:v>0.5523565236245094</x:v>
      </x:c>
      <x:c r="H109" s="12" t="n">
        <x:v>0.5523565236245094</x:v>
      </x:c>
      <x:c r="I109" s="12" t="n">
        <x:v>6</x:v>
      </x:c>
      <x:c r="J109" s="12" t="n">
        <x:v>0.06</x:v>
      </x:c>
      <x:c r="K109" s="12" t="n">
        <x:v>142920000</x:v>
      </x:c>
      <x:c r="L109" s="12" t="n">
        <x:v>594962277.0825502</x:v>
      </x:c>
      <x:c r="M109" s="12" t="n">
        <x:v>237363.21960841876</x:v>
      </x:c>
      <x:c r="N109" s="12" t="n">
        <x:v>2.600312169122992</x:v>
      </x:c>
      <x:c r="O109" s="12" t="n">
        <x:v>62</x:v>
      </x:c>
      <x:c r="P109" s="12" t="n">
        <x:v>10</x:v>
      </x:c>
      <x:c r="Q109" s="12" t="str">
        <x:v>Conservative design envelope: C=62 MPa from MAT-002 static shear strength and b=10</x:v>
      </x:c>
      <x:c r="R109" s="12" t="n">
        <x:v>4.218216375373273e-7</x:v>
      </x:c>
      <x:c r="S109" s="12" t="str">
        <x:v>PASS</x:v>
      </x:c>
      <x:c r="T109" s="12" t="n">
        <x:v>0.004848039637347951</x:v>
      </x:c>
      <x:c r="U109" s="12" t="n">
        <x:v>1.8674588573649617e-25</x:v>
      </x:c>
      <x:c r="V109" s="12" t="str">
        <x:v>SOURCED_CURVE_PASS</x:v>
      </x:c>
    </x:row>
    <x:row r="110" ht="66" hidden="0" customHeight="1">
      <x:c r="A110" s="12" t="str">
        <x:v>nominal_b10_split0</x:v>
      </x:c>
      <x:c r="B110" s="12" t="n">
        <x:v>10.25</x:v>
      </x:c>
      <x:c r="C110" s="12" t="str">
        <x:v>forward</x:v>
      </x:c>
      <x:c r="D110" s="12" t="str">
        <x:v>fatigue_robust_final</x:v>
      </x:c>
      <x:c r="E110" s="12" t="str">
        <x:v>stiffness_based</x:v>
      </x:c>
      <x:c r="F110" s="12" t="n">
        <x:v>0</x:v>
      </x:c>
      <x:c r="G110" s="12" t="n">
        <x:v>0.49141199157758997</x:v>
      </x:c>
      <x:c r="H110" s="12" t="n">
        <x:v>0.49141199157758997</x:v>
      </x:c>
      <x:c r="I110" s="12" t="n">
        <x:v>5</x:v>
      </x:c>
      <x:c r="J110" s="12" t="n">
        <x:v>0.06</x:v>
      </x:c>
      <x:c r="K110" s="12" t="n">
        <x:v>119320000</x:v>
      </x:c>
      <x:c r="L110" s="12" t="n">
        <x:v>217506857.54665366</x:v>
      </x:c>
      <x:c r="M110" s="12" t="n">
        <x:v>231513.73513518577</x:v>
      </x:c>
      <x:c r="N110" s="12" t="n">
        <x:v>6.17208026420114</x:v>
      </x:c>
      <x:c r="O110" s="12" t="n">
        <x:v>62</x:v>
      </x:c>
      <x:c r="P110" s="12" t="n">
        <x:v>10</x:v>
      </x:c>
      <x:c r="Q110" s="12" t="str">
        <x:v>Conservative design envelope: C=62 MPa from MAT-002 static shear strength and b=10</x:v>
      </x:c>
      <x:c r="R110" s="12" t="n">
        <x:v>0.0023943609488178766</x:v>
      </x:c>
      <x:c r="S110" s="12" t="str">
        <x:v>PASS</x:v>
      </x:c>
      <x:c r="T110" s="12" t="n">
        <x:v>0.011507268289188567</x:v>
      </x:c>
      <x:c r="U110" s="12" t="n">
        <x:v>6.399653339848234e-21</x:v>
      </x:c>
      <x:c r="V110" s="12" t="str">
        <x:v>SOURCED_CURVE_PASS</x:v>
      </x:c>
    </x:row>
    <x:row r="111" ht="66" hidden="0" customHeight="1">
      <x:c r="A111" s="12" t="str">
        <x:v>nominal_b10_split0</x:v>
      </x:c>
      <x:c r="B111" s="12" t="n">
        <x:v>10.25</x:v>
      </x:c>
      <x:c r="C111" s="12" t="str">
        <x:v>aft</x:v>
      </x:c>
      <x:c r="D111" s="12" t="str">
        <x:v>fatigue_robust_final</x:v>
      </x:c>
      <x:c r="E111" s="12" t="str">
        <x:v>stiffness_based</x:v>
      </x:c>
      <x:c r="F111" s="12" t="n">
        <x:v>0</x:v>
      </x:c>
      <x:c r="G111" s="12" t="n">
        <x:v>0.50858800842241</x:v>
      </x:c>
      <x:c r="H111" s="12" t="n">
        <x:v>0.50858800842241</x:v>
      </x:c>
      <x:c r="I111" s="12" t="n">
        <x:v>6</x:v>
      </x:c>
      <x:c r="J111" s="12" t="n">
        <x:v>0.06</x:v>
      </x:c>
      <x:c r="K111" s="12" t="n">
        <x:v>142920000</x:v>
      </x:c>
      <x:c r="L111" s="12" t="n">
        <x:v>225109239.0780684</x:v>
      </x:c>
      <x:c r="M111" s="12" t="n">
        <x:v>231513.73513518577</x:v>
      </x:c>
      <x:c r="N111" s="12" t="n">
        <x:v>6.17208026420114</x:v>
      </x:c>
      <x:c r="O111" s="12" t="n">
        <x:v>62</x:v>
      </x:c>
      <x:c r="P111" s="12" t="n">
        <x:v>10</x:v>
      </x:c>
      <x:c r="Q111" s="12" t="str">
        <x:v>Conservative design envelope: C=62 MPa from MAT-002 static shear strength and b=10</x:v>
      </x:c>
      <x:c r="R111" s="12" t="n">
        <x:v>0.0023943609488178766</x:v>
      </x:c>
      <x:c r="S111" s="12" t="str">
        <x:v>PASS</x:v>
      </x:c>
      <x:c r="T111" s="12" t="n">
        <x:v>0.011507268289188567</x:v>
      </x:c>
      <x:c r="U111" s="12" t="n">
        <x:v>6.399653339848234e-21</x:v>
      </x:c>
      <x:c r="V111" s="12" t="str">
        <x:v>SOURCED_CURVE_PASS</x:v>
      </x:c>
    </x:row>
    <x:row r="112" ht="66" hidden="0" customHeight="1">
      <x:c r="A112" s="12" t="str">
        <x:v>nominal_b10_split0</x:v>
      </x:c>
      <x:c r="B112" s="12" t="n">
        <x:v>14.35</x:v>
      </x:c>
      <x:c r="C112" s="12" t="str">
        <x:v>forward</x:v>
      </x:c>
      <x:c r="D112" s="12" t="str">
        <x:v>fatigue_robust_final</x:v>
      </x:c>
      <x:c r="E112" s="12" t="str">
        <x:v>stiffness_based</x:v>
      </x:c>
      <x:c r="F112" s="12" t="n">
        <x:v>0</x:v>
      </x:c>
      <x:c r="G112" s="12" t="n">
        <x:v>0.49606240272152163</x:v>
      </x:c>
      <x:c r="H112" s="12" t="n">
        <x:v>0.49606240272152163</x:v>
      </x:c>
      <x:c r="I112" s="12" t="n">
        <x:v>5</x:v>
      </x:c>
      <x:c r="J112" s="12" t="n">
        <x:v>0.06</x:v>
      </x:c>
      <x:c r="K112" s="12" t="n">
        <x:v>119320000</x:v>
      </x:c>
      <x:c r="L112" s="12" t="n">
        <x:v>191407126.42227527</x:v>
      </x:c>
      <x:c r="M112" s="12" t="n">
        <x:v>224343.45020325202</x:v>
      </x:c>
      <x:c r="N112" s="12" t="n">
        <x:v>6.860781861518907</x:v>
      </x:c>
      <x:c r="O112" s="12" t="n">
        <x:v>62</x:v>
      </x:c>
      <x:c r="P112" s="12" t="n">
        <x:v>10</x:v>
      </x:c>
      <x:c r="Q112" s="12" t="str">
        <x:v>Conservative design envelope: C=62 MPa from MAT-002 static shear strength and b=10</x:v>
      </x:c>
      <x:c r="R112" s="12" t="n">
        <x:v>0.006896203690720472</x:v>
      </x:c>
      <x:c r="S112" s="12" t="str">
        <x:v>PASS</x:v>
      </x:c>
      <x:c r="T112" s="12" t="n">
        <x:v>0.012791288216391182</x:v>
      </x:c>
      <x:c r="U112" s="12" t="n">
        <x:v>2.2968697340444775e-20</x:v>
      </x:c>
      <x:c r="V112" s="12" t="str">
        <x:v>SOURCED_CURVE_PASS</x:v>
      </x:c>
    </x:row>
    <x:row r="113" ht="66" hidden="0" customHeight="1">
      <x:c r="A113" s="12" t="str">
        <x:v>nominal_b10_split0</x:v>
      </x:c>
      <x:c r="B113" s="12" t="n">
        <x:v>14.35</x:v>
      </x:c>
      <x:c r="C113" s="12" t="str">
        <x:v>aft</x:v>
      </x:c>
      <x:c r="D113" s="12" t="str">
        <x:v>fatigue_robust_final</x:v>
      </x:c>
      <x:c r="E113" s="12" t="str">
        <x:v>stiffness_based</x:v>
      </x:c>
      <x:c r="F113" s="12" t="n">
        <x:v>0</x:v>
      </x:c>
      <x:c r="G113" s="12" t="n">
        <x:v>0.5039375972784784</x:v>
      </x:c>
      <x:c r="H113" s="12" t="n">
        <x:v>0.5039375972784783</x:v>
      </x:c>
      <x:c r="I113" s="12" t="n">
        <x:v>6</x:v>
      </x:c>
      <x:c r="J113" s="12" t="n">
        <x:v>0.06</x:v>
      </x:c>
      <x:c r="K113" s="12" t="n">
        <x:v>142920000</x:v>
      </x:c>
      <x:c r="L113" s="12" t="n">
        <x:v>194445793.2349457</x:v>
      </x:c>
      <x:c r="M113" s="12" t="n">
        <x:v>224343.45020325202</x:v>
      </x:c>
      <x:c r="N113" s="12" t="n">
        <x:v>6.860781861518905</x:v>
      </x:c>
      <x:c r="O113" s="12" t="n">
        <x:v>62</x:v>
      </x:c>
      <x:c r="P113" s="12" t="n">
        <x:v>10</x:v>
      </x:c>
      <x:c r="Q113" s="12" t="str">
        <x:v>Conservative design envelope: C=62 MPa from MAT-002 static shear strength and b=10</x:v>
      </x:c>
      <x:c r="R113" s="12" t="n">
        <x:v>0.00689620369072046</x:v>
      </x:c>
      <x:c r="S113" s="12" t="str">
        <x:v>PASS</x:v>
      </x:c>
      <x:c r="T113" s="12" t="n">
        <x:v>0.01279128821639118</x:v>
      </x:c>
      <x:c r="U113" s="12" t="n">
        <x:v>2.2968697340444712e-20</x:v>
      </x:c>
      <x:c r="V113" s="12" t="str">
        <x:v>SOURCED_CURVE_PASS</x:v>
      </x:c>
    </x:row>
    <x:row r="114" ht="66" hidden="0" customHeight="1">
      <x:c r="A114" s="12" t="str">
        <x:v>nominal_b10_split0</x:v>
      </x:c>
      <x:c r="B114" s="12" t="n">
        <x:v>18.45</x:v>
      </x:c>
      <x:c r="C114" s="12" t="str">
        <x:v>forward</x:v>
      </x:c>
      <x:c r="D114" s="12" t="str">
        <x:v>fatigue_robust_final</x:v>
      </x:c>
      <x:c r="E114" s="12" t="str">
        <x:v>stiffness_based</x:v>
      </x:c>
      <x:c r="F114" s="12" t="n">
        <x:v>0</x:v>
      </x:c>
      <x:c r="G114" s="12" t="n">
        <x:v>0.49781018781505815</x:v>
      </x:c>
      <x:c r="H114" s="12" t="n">
        <x:v>0.49781018781505815</x:v>
      </x:c>
      <x:c r="I114" s="12" t="n">
        <x:v>5</x:v>
      </x:c>
      <x:c r="J114" s="12" t="n">
        <x:v>0.06</x:v>
      </x:c>
      <x:c r="K114" s="12" t="n">
        <x:v>119320000</x:v>
      </x:c>
      <x:c r="L114" s="12" t="n">
        <x:v>183747251.8382465</x:v>
      </x:c>
      <x:c r="M114" s="12" t="n">
        <x:v>212386.75711382105</x:v>
      </x:c>
      <x:c r="N114" s="12" t="n">
        <x:v>6.789727882231178</x:v>
      </x:c>
      <x:c r="O114" s="12" t="n">
        <x:v>62</x:v>
      </x:c>
      <x:c r="P114" s="12" t="n">
        <x:v>10</x:v>
      </x:c>
      <x:c r="Q114" s="12" t="str">
        <x:v>Conservative design envelope: C=62 MPa from MAT-002 static shear strength and b=10</x:v>
      </x:c>
      <x:c r="R114" s="12" t="n">
        <x:v>0.006214377899401847</x:v>
      </x:c>
      <x:c r="S114" s="12" t="str">
        <x:v>PASS</x:v>
      </x:c>
      <x:c r="T114" s="12" t="n">
        <x:v>0.012658814695685246</x:v>
      </x:c>
      <x:c r="U114" s="12" t="n">
        <x:v>2.025441761566293e-20</x:v>
      </x:c>
      <x:c r="V114" s="12" t="str">
        <x:v>SOURCED_CURVE_PASS</x:v>
      </x:c>
    </x:row>
    <x:row r="115" ht="66" hidden="0" customHeight="1">
      <x:c r="A115" s="12" t="str">
        <x:v>nominal_b10_split0</x:v>
      </x:c>
      <x:c r="B115" s="12" t="n">
        <x:v>18.45</x:v>
      </x:c>
      <x:c r="C115" s="12" t="str">
        <x:v>aft</x:v>
      </x:c>
      <x:c r="D115" s="12" t="str">
        <x:v>fatigue_robust_final</x:v>
      </x:c>
      <x:c r="E115" s="12" t="str">
        <x:v>stiffness_based</x:v>
      </x:c>
      <x:c r="F115" s="12" t="n">
        <x:v>0</x:v>
      </x:c>
      <x:c r="G115" s="12" t="n">
        <x:v>0.5021898121849419</x:v>
      </x:c>
      <x:c r="H115" s="12" t="n">
        <x:v>0.5021898121849419</x:v>
      </x:c>
      <x:c r="I115" s="12" t="n">
        <x:v>6</x:v>
      </x:c>
      <x:c r="J115" s="12" t="n">
        <x:v>0.06</x:v>
      </x:c>
      <x:c r="K115" s="12" t="n">
        <x:v>142920000</x:v>
      </x:c>
      <x:c r="L115" s="12" t="n">
        <x:v>185363819.68227163</x:v>
      </x:c>
      <x:c r="M115" s="12" t="n">
        <x:v>212386.75711382105</x:v>
      </x:c>
      <x:c r="N115" s="12" t="n">
        <x:v>6.789727882231179</x:v>
      </x:c>
      <x:c r="O115" s="12" t="n">
        <x:v>62</x:v>
      </x:c>
      <x:c r="P115" s="12" t="n">
        <x:v>10</x:v>
      </x:c>
      <x:c r="Q115" s="12" t="str">
        <x:v>Conservative design envelope: C=62 MPa from MAT-002 static shear strength and b=10</x:v>
      </x:c>
      <x:c r="R115" s="12" t="n">
        <x:v>0.006214377899401858</x:v>
      </x:c>
      <x:c r="S115" s="12" t="str">
        <x:v>PASS</x:v>
      </x:c>
      <x:c r="T115" s="12" t="n">
        <x:v>0.012658814695685248</x:v>
      </x:c>
      <x:c r="U115" s="12" t="n">
        <x:v>2.0254417615662988e-20</x:v>
      </x:c>
      <x:c r="V115" s="12" t="str">
        <x:v>SOURCED_CURVE_PASS</x:v>
      </x:c>
    </x:row>
    <x:row r="116" ht="66" hidden="0" customHeight="1">
      <x:c r="A116" s="12" t="str">
        <x:v>nominal_b10_split0</x:v>
      </x:c>
      <x:c r="B116" s="12" t="n">
        <x:v>22.55</x:v>
      </x:c>
      <x:c r="C116" s="12" t="str">
        <x:v>forward</x:v>
      </x:c>
      <x:c r="D116" s="12" t="str">
        <x:v>fatigue_robust_final</x:v>
      </x:c>
      <x:c r="E116" s="12" t="str">
        <x:v>stiffness_based</x:v>
      </x:c>
      <x:c r="F116" s="12" t="n">
        <x:v>0</x:v>
      </x:c>
      <x:c r="G116" s="12" t="n">
        <x:v>0.4999242164858604</x:v>
      </x:c>
      <x:c r="H116" s="12" t="n">
        <x:v>0.4999242164858604</x:v>
      </x:c>
      <x:c r="I116" s="12" t="n">
        <x:v>5</x:v>
      </x:c>
      <x:c r="J116" s="12" t="n">
        <x:v>0.06</x:v>
      </x:c>
      <x:c r="K116" s="12" t="n">
        <x:v>119320000</x:v>
      </x:c>
      <x:c r="L116" s="12" t="n">
        <x:v>150555378.5467124</x:v>
      </x:c>
      <x:c r="M116" s="12" t="n">
        <x:v>194069.742886179</x:v>
      </x:c>
      <x:c r="N116" s="12" t="n">
        <x:v>7.604098558892882</x:v>
      </x:c>
      <x:c r="O116" s="12" t="n">
        <x:v>62</x:v>
      </x:c>
      <x:c r="P116" s="12" t="n">
        <x:v>10</x:v>
      </x:c>
      <x:c r="Q116" s="12" t="str">
        <x:v>Conservative design envelope: C=62 MPa from MAT-002 static shear strength and b=10</x:v>
      </x:c>
      <x:c r="R116" s="12" t="n">
        <x:v>0.01929084899524061</x:v>
      </x:c>
      <x:c r="S116" s="12" t="str">
        <x:v>PASS</x:v>
      </x:c>
      <x:c r="T116" s="12" t="n">
        <x:v>0.014177132906410456</x:v>
      </x:c>
      <x:c r="U116" s="12" t="n">
        <x:v>7.95792438451067e-20</x:v>
      </x:c>
      <x:c r="V116" s="12" t="str">
        <x:v>SOURCED_CURVE_PASS</x:v>
      </x:c>
    </x:row>
    <x:row r="117" ht="66" hidden="0" customHeight="1">
      <x:c r="A117" s="12" t="str">
        <x:v>nominal_b10_split0</x:v>
      </x:c>
      <x:c r="B117" s="12" t="n">
        <x:v>22.55</x:v>
      </x:c>
      <x:c r="C117" s="12" t="str">
        <x:v>aft</x:v>
      </x:c>
      <x:c r="D117" s="12" t="str">
        <x:v>fatigue_robust_final</x:v>
      </x:c>
      <x:c r="E117" s="12" t="str">
        <x:v>stiffness_based</x:v>
      </x:c>
      <x:c r="F117" s="12" t="n">
        <x:v>0</x:v>
      </x:c>
      <x:c r="G117" s="12" t="n">
        <x:v>0.5000757835141396</x:v>
      </x:c>
      <x:c r="H117" s="12" t="n">
        <x:v>0.5000757835141396</x:v>
      </x:c>
      <x:c r="I117" s="12" t="n">
        <x:v>6</x:v>
      </x:c>
      <x:c r="J117" s="12" t="n">
        <x:v>0.06</x:v>
      </x:c>
      <x:c r="K117" s="12" t="n">
        <x:v>142920000</x:v>
      </x:c>
      <x:c r="L117" s="12" t="n">
        <x:v>150601023.9276827</x:v>
      </x:c>
      <x:c r="M117" s="12" t="n">
        <x:v>194069.742886179</x:v>
      </x:c>
      <x:c r="N117" s="12" t="n">
        <x:v>7.604098558892883</x:v>
      </x:c>
      <x:c r="O117" s="12" t="n">
        <x:v>62</x:v>
      </x:c>
      <x:c r="P117" s="12" t="n">
        <x:v>10</x:v>
      </x:c>
      <x:c r="Q117" s="12" t="str">
        <x:v>Conservative design envelope: C=62 MPa from MAT-002 static shear strength and b=10</x:v>
      </x:c>
      <x:c r="R117" s="12" t="n">
        <x:v>0.019290848995240643</x:v>
      </x:c>
      <x:c r="S117" s="12" t="str">
        <x:v>PASS</x:v>
      </x:c>
      <x:c r="T117" s="12" t="n">
        <x:v>0.014177132906410459</x:v>
      </x:c>
      <x:c r="U117" s="12" t="n">
        <x:v>7.95792438451069e-20</x:v>
      </x:c>
      <x:c r="V117" s="12" t="str">
        <x:v>SOURCED_CURVE_PASS</x:v>
      </x:c>
    </x:row>
    <x:row r="118" ht="66" hidden="0" customHeight="1">
      <x:c r="A118" s="12" t="str">
        <x:v>nominal_b10_split0</x:v>
      </x:c>
      <x:c r="B118" s="12" t="n">
        <x:v>26.65</x:v>
      </x:c>
      <x:c r="C118" s="12" t="str">
        <x:v>forward</x:v>
      </x:c>
      <x:c r="D118" s="12" t="str">
        <x:v>fatigue_robust_final</x:v>
      </x:c>
      <x:c r="E118" s="12" t="str">
        <x:v>stiffness_based</x:v>
      </x:c>
      <x:c r="F118" s="12" t="n">
        <x:v>0</x:v>
      </x:c>
      <x:c r="G118" s="12" t="n">
        <x:v>0.48700210872901034</x:v>
      </x:c>
      <x:c r="H118" s="12" t="n">
        <x:v>0.48700210872901034</x:v>
      </x:c>
      <x:c r="I118" s="12" t="n">
        <x:v>5</x:v>
      </x:c>
      <x:c r="J118" s="12" t="n">
        <x:v>0.06</x:v>
      </x:c>
      <x:c r="K118" s="12" t="n">
        <x:v>119320000</x:v>
      </x:c>
      <x:c r="L118" s="12" t="n">
        <x:v>119524554.16865844</x:v>
      </x:c>
      <x:c r="M118" s="12" t="n">
        <x:v>175708.31300813012</x:v>
      </x:c>
      <x:c r="N118" s="12" t="n">
        <x:v>8.447885630747251</x:v>
      </x:c>
      <x:c r="O118" s="12" t="n">
        <x:v>62</x:v>
      </x:c>
      <x:c r="P118" s="12" t="n">
        <x:v>10</x:v>
      </x:c>
      <x:c r="Q118" s="12" t="str">
        <x:v>Conservative design envelope: C=62 MPa from MAT-002 static shear strength and b=10</x:v>
      </x:c>
      <x:c r="R118" s="12" t="n">
        <x:v>0.05525279164532104</x:v>
      </x:c>
      <x:c r="S118" s="12" t="str">
        <x:v>PASS</x:v>
      </x:c>
      <x:c r="T118" s="12" t="n">
        <x:v>0.015750295243766064</x:v>
      </x:c>
      <x:c r="U118" s="12" t="n">
        <x:v>2.8369997155606553e-19</x:v>
      </x:c>
      <x:c r="V118" s="12" t="str">
        <x:v>SOURCED_CURVE_PASS</x:v>
      </x:c>
    </x:row>
    <x:row r="119" ht="66" hidden="0" customHeight="1">
      <x:c r="A119" s="12" t="str">
        <x:v>nominal_b10_split0</x:v>
      </x:c>
      <x:c r="B119" s="12" t="n">
        <x:v>26.65</x:v>
      </x:c>
      <x:c r="C119" s="12" t="str">
        <x:v>aft</x:v>
      </x:c>
      <x:c r="D119" s="12" t="str">
        <x:v>fatigue_robust_final</x:v>
      </x:c>
      <x:c r="E119" s="12" t="str">
        <x:v>stiffness_based</x:v>
      </x:c>
      <x:c r="F119" s="12" t="n">
        <x:v>0</x:v>
      </x:c>
      <x:c r="G119" s="12" t="n">
        <x:v>0.5129978912709896</x:v>
      </x:c>
      <x:c r="H119" s="12" t="n">
        <x:v>0.5129978912709896</x:v>
      </x:c>
      <x:c r="I119" s="12" t="n">
        <x:v>6</x:v>
      </x:c>
      <x:c r="J119" s="12" t="n">
        <x:v>0.06</x:v>
      </x:c>
      <x:c r="K119" s="12" t="n">
        <x:v>142920000</x:v>
      </x:c>
      <x:c r="L119" s="12" t="n">
        <x:v>125904679.14738706</x:v>
      </x:c>
      <x:c r="M119" s="12" t="n">
        <x:v>175708.31300813012</x:v>
      </x:c>
      <x:c r="N119" s="12" t="n">
        <x:v>8.447885630747251</x:v>
      </x:c>
      <x:c r="O119" s="12" t="n">
        <x:v>62</x:v>
      </x:c>
      <x:c r="P119" s="12" t="n">
        <x:v>10</x:v>
      </x:c>
      <x:c r="Q119" s="12" t="str">
        <x:v>Conservative design envelope: C=62 MPa from MAT-002 static shear strength and b=10</x:v>
      </x:c>
      <x:c r="R119" s="12" t="n">
        <x:v>0.05525279164532104</x:v>
      </x:c>
      <x:c r="S119" s="12" t="str">
        <x:v>PASS</x:v>
      </x:c>
      <x:c r="T119" s="12" t="n">
        <x:v>0.015750295243766064</x:v>
      </x:c>
      <x:c r="U119" s="12" t="n">
        <x:v>2.8369997155606553e-19</x:v>
      </x:c>
      <x:c r="V119" s="12" t="str">
        <x:v>SOURCED_CURVE_PASS</x:v>
      </x:c>
    </x:row>
    <x:row r="120" ht="66" hidden="0" customHeight="1">
      <x:c r="A120" s="12" t="str">
        <x:v>nominal_b10_split0</x:v>
      </x:c>
      <x:c r="B120" s="12" t="n">
        <x:v>30.75</x:v>
      </x:c>
      <x:c r="C120" s="12" t="str">
        <x:v>forward</x:v>
      </x:c>
      <x:c r="D120" s="12" t="str">
        <x:v>fatigue_robust_final</x:v>
      </x:c>
      <x:c r="E120" s="12" t="str">
        <x:v>stiffness_based</x:v>
      </x:c>
      <x:c r="F120" s="12" t="n">
        <x:v>0</x:v>
      </x:c>
      <x:c r="G120" s="12" t="n">
        <x:v>0.4891931776268477</x:v>
      </x:c>
      <x:c r="H120" s="12" t="n">
        <x:v>0.4891931776268477</x:v>
      </x:c>
      <x:c r="I120" s="12" t="n">
        <x:v>5</x:v>
      </x:c>
      <x:c r="J120" s="12" t="n">
        <x:v>0.06</x:v>
      </x:c>
      <x:c r="K120" s="12" t="n">
        <x:v>119320000</x:v>
      </x:c>
      <x:c r="L120" s="12" t="n">
        <x:v>111786929.61321083</x:v>
      </x:c>
      <x:c r="M120" s="12" t="n">
        <x:v>153544.90345528448</x:v>
      </x:c>
      <x:c r="N120" s="12" t="n">
        <x:v>7.928787470746422</x:v>
      </x:c>
      <x:c r="O120" s="12" t="n">
        <x:v>62</x:v>
      </x:c>
      <x:c r="P120" s="12" t="n">
        <x:v>10</x:v>
      </x:c>
      <x:c r="Q120" s="12" t="str">
        <x:v>Conservative design envelope: C=62 MPa from MAT-002 static shear strength and b=10</x:v>
      </x:c>
      <x:c r="R120" s="12" t="n">
        <x:v>0.029305000795418472</x:v>
      </x:c>
      <x:c r="S120" s="12" t="str">
        <x:v>PASS</x:v>
      </x:c>
      <x:c r="T120" s="12" t="n">
        <x:v>0.014782485114950958</x:v>
      </x:c>
      <x:c r="U120" s="12" t="n">
        <x:v>1.3187455483380638e-19</x:v>
      </x:c>
      <x:c r="V120" s="12" t="str">
        <x:v>SOURCED_CURVE_PASS</x:v>
      </x:c>
    </x:row>
    <x:row r="121" ht="66" hidden="0" customHeight="1">
      <x:c r="A121" s="12" t="str">
        <x:v>nominal_b10_split0</x:v>
      </x:c>
      <x:c r="B121" s="12" t="n">
        <x:v>30.75</x:v>
      </x:c>
      <x:c r="C121" s="12" t="str">
        <x:v>aft</x:v>
      </x:c>
      <x:c r="D121" s="12" t="str">
        <x:v>fatigue_robust_final</x:v>
      </x:c>
      <x:c r="E121" s="12" t="str">
        <x:v>stiffness_based</x:v>
      </x:c>
      <x:c r="F121" s="12" t="n">
        <x:v>0</x:v>
      </x:c>
      <x:c r="G121" s="12" t="n">
        <x:v>0.5108068223731523</x:v>
      </x:c>
      <x:c r="H121" s="12" t="n">
        <x:v>0.5108068223731523</x:v>
      </x:c>
      <x:c r="I121" s="12" t="n">
        <x:v>6</x:v>
      </x:c>
      <x:c r="J121" s="12" t="n">
        <x:v>0.06</x:v>
      </x:c>
      <x:c r="K121" s="12" t="n">
        <x:v>142920000</x:v>
      </x:c>
      <x:c r="L121" s="12" t="n">
        <x:v>116725925.27881083</x:v>
      </x:c>
      <x:c r="M121" s="12" t="n">
        <x:v>153544.90345528448</x:v>
      </x:c>
      <x:c r="N121" s="12" t="n">
        <x:v>7.928787470746424</x:v>
      </x:c>
      <x:c r="O121" s="12" t="n">
        <x:v>62</x:v>
      </x:c>
      <x:c r="P121" s="12" t="n">
        <x:v>10</x:v>
      </x:c>
      <x:c r="Q121" s="12" t="str">
        <x:v>Conservative design envelope: C=62 MPa from MAT-002 static shear strength and b=10</x:v>
      </x:c>
      <x:c r="R121" s="12" t="n">
        <x:v>0.029305000795418513</x:v>
      </x:c>
      <x:c r="S121" s="12" t="str">
        <x:v>PASS</x:v>
      </x:c>
      <x:c r="T121" s="12" t="n">
        <x:v>0.01478248511495096</x:v>
      </x:c>
      <x:c r="U121" s="12" t="n">
        <x:v>1.3187455483380672e-19</x:v>
      </x:c>
      <x:c r="V121" s="12" t="str">
        <x:v>SOURCED_CURVE_PASS</x:v>
      </x:c>
    </x:row>
    <x:row r="122" ht="66" hidden="0" customHeight="1">
      <x:c r="A122" s="12" t="str">
        <x:v>nominal_b10_split0</x:v>
      </x:c>
      <x:c r="B122" s="12" t="n">
        <x:v>34.85</x:v>
      </x:c>
      <x:c r="C122" s="12" t="str">
        <x:v>forward</x:v>
      </x:c>
      <x:c r="D122" s="12" t="str">
        <x:v>fatigue_robust_final</x:v>
      </x:c>
      <x:c r="E122" s="12" t="str">
        <x:v>stiffness_based</x:v>
      </x:c>
      <x:c r="F122" s="12" t="n">
        <x:v>0</x:v>
      </x:c>
      <x:c r="G122" s="12" t="n">
        <x:v>0.48356846452968083</x:v>
      </x:c>
      <x:c r="H122" s="12" t="n">
        <x:v>0.48356846452968083</x:v>
      </x:c>
      <x:c r="I122" s="12" t="n">
        <x:v>5</x:v>
      </x:c>
      <x:c r="J122" s="12" t="n">
        <x:v>0.06</x:v>
      </x:c>
      <x:c r="K122" s="12" t="n">
        <x:v>119320000</x:v>
      </x:c>
      <x:c r="L122" s="12" t="n">
        <x:v>87491431.63856551</x:v>
      </x:c>
      <x:c r="M122" s="12" t="n">
        <x:v>128849.80182926828</x:v>
      </x:c>
      <x:c r="N122" s="12" t="n">
        <x:v>8.40346141298258</x:v>
      </x:c>
      <x:c r="O122" s="12" t="n">
        <x:v>62</x:v>
      </x:c>
      <x:c r="P122" s="12" t="n">
        <x:v>10</x:v>
      </x:c>
      <x:c r="Q122" s="12" t="str">
        <x:v>Conservative design envelope: C=62 MPa from MAT-002 static shear strength and b=10</x:v>
      </x:c>
      <x:c r="R122" s="12" t="n">
        <x:v>0.05241505806161756</x:v>
      </x:c>
      <x:c r="S122" s="12" t="str">
        <x:v>PASS</x:v>
      </x:c>
      <x:c r="T122" s="12" t="n">
        <x:v>0.01566747043098447</x:v>
      </x:c>
      <x:c r="U122" s="12" t="n">
        <x:v>2.661940364399689e-19</x:v>
      </x:c>
      <x:c r="V122" s="12" t="str">
        <x:v>SOURCED_CURVE_PASS</x:v>
      </x:c>
    </x:row>
    <x:row r="123" ht="66" hidden="0" customHeight="1">
      <x:c r="A123" s="12" t="str">
        <x:v>nominal_b10_split0</x:v>
      </x:c>
      <x:c r="B123" s="12" t="n">
        <x:v>34.85</x:v>
      </x:c>
      <x:c r="C123" s="12" t="str">
        <x:v>aft</x:v>
      </x:c>
      <x:c r="D123" s="12" t="str">
        <x:v>fatigue_robust_final</x:v>
      </x:c>
      <x:c r="E123" s="12" t="str">
        <x:v>stiffness_based</x:v>
      </x:c>
      <x:c r="F123" s="12" t="n">
        <x:v>0</x:v>
      </x:c>
      <x:c r="G123" s="12" t="n">
        <x:v>0.5164315354703191</x:v>
      </x:c>
      <x:c r="H123" s="12" t="n">
        <x:v>0.5164315354703192</x:v>
      </x:c>
      <x:c r="I123" s="12" t="n">
        <x:v>6</x:v>
      </x:c>
      <x:c r="J123" s="12" t="n">
        <x:v>0.06</x:v>
      </x:c>
      <x:c r="K123" s="12" t="n">
        <x:v>142920000</x:v>
      </x:c>
      <x:c r="L123" s="12" t="n">
        <x:v>93437305.56446894</x:v>
      </x:c>
      <x:c r="M123" s="12" t="n">
        <x:v>128849.80182926828</x:v>
      </x:c>
      <x:c r="N123" s="12" t="n">
        <x:v>8.40346141298258</x:v>
      </x:c>
      <x:c r="O123" s="12" t="n">
        <x:v>62</x:v>
      </x:c>
      <x:c r="P123" s="12" t="n">
        <x:v>10</x:v>
      </x:c>
      <x:c r="Q123" s="12" t="str">
        <x:v>Conservative design envelope: C=62 MPa from MAT-002 static shear strength and b=10</x:v>
      </x:c>
      <x:c r="R123" s="12" t="n">
        <x:v>0.05241505806161756</x:v>
      </x:c>
      <x:c r="S123" s="12" t="str">
        <x:v>PASS</x:v>
      </x:c>
      <x:c r="T123" s="12" t="n">
        <x:v>0.01566747043098447</x:v>
      </x:c>
      <x:c r="U123" s="12" t="n">
        <x:v>2.661940364399689e-19</x:v>
      </x:c>
      <x:c r="V123" s="12" t="str">
        <x:v>SOURCED_CURVE_PASS</x:v>
      </x:c>
    </x:row>
    <x:row r="124" ht="66" hidden="0" customHeight="1">
      <x:c r="A124" s="12" t="str">
        <x:v>nominal_b10_split0</x:v>
      </x:c>
      <x:c r="B124" s="12" t="n">
        <x:v>38.95</x:v>
      </x:c>
      <x:c r="C124" s="12" t="str">
        <x:v>forward</x:v>
      </x:c>
      <x:c r="D124" s="12" t="str">
        <x:v>fatigue_robust_final</x:v>
      </x:c>
      <x:c r="E124" s="12" t="str">
        <x:v>stiffness_based</x:v>
      </x:c>
      <x:c r="F124" s="12" t="n">
        <x:v>0</x:v>
      </x:c>
      <x:c r="G124" s="12" t="n">
        <x:v>0.4857943790309471</x:v>
      </x:c>
      <x:c r="H124" s="12" t="n">
        <x:v>0.4857943790309471</x:v>
      </x:c>
      <x:c r="I124" s="12" t="n">
        <x:v>5</x:v>
      </x:c>
      <x:c r="J124" s="12" t="n">
        <x:v>0.06</x:v>
      </x:c>
      <x:c r="K124" s="12" t="n">
        <x:v>119320000</x:v>
      </x:c>
      <x:c r="L124" s="12" t="n">
        <x:v>81193609.43053912</x:v>
      </x:c>
      <x:c r="M124" s="12" t="n">
        <x:v>109449.0457317073</x:v>
      </x:c>
      <x:c r="N124" s="12" t="n">
        <x:v>7.7272439621810625</x:v>
      </x:c>
      <x:c r="O124" s="12" t="n">
        <x:v>62</x:v>
      </x:c>
      <x:c r="P124" s="12" t="n">
        <x:v>10</x:v>
      </x:c>
      <x:c r="Q124" s="12" t="str">
        <x:v>Conservative design envelope: C=62 MPa from MAT-002 static shear strength and b=10</x:v>
      </x:c>
      <x:c r="R124" s="12" t="n">
        <x:v>0.022652712221166424</x:v>
      </x:c>
      <x:c r="S124" s="12" t="str">
        <x:v>PASS</x:v>
      </x:c>
      <x:c r="T124" s="12" t="n">
        <x:v>0.014406726031185032</x:v>
      </x:c>
      <x:c r="U124" s="12" t="n">
        <x:v>9.662301804959702e-20</x:v>
      </x:c>
      <x:c r="V124" s="12" t="str">
        <x:v>SOURCED_CURVE_PASS</x:v>
      </x:c>
    </x:row>
    <x:row r="125" ht="66" hidden="0" customHeight="1">
      <x:c r="A125" s="12" t="str">
        <x:v>nominal_b10_split0</x:v>
      </x:c>
      <x:c r="B125" s="12" t="n">
        <x:v>38.95</x:v>
      </x:c>
      <x:c r="C125" s="12" t="str">
        <x:v>aft</x:v>
      </x:c>
      <x:c r="D125" s="12" t="str">
        <x:v>fatigue_robust_final</x:v>
      </x:c>
      <x:c r="E125" s="12" t="str">
        <x:v>stiffness_based</x:v>
      </x:c>
      <x:c r="F125" s="12" t="n">
        <x:v>0</x:v>
      </x:c>
      <x:c r="G125" s="12" t="n">
        <x:v>0.514205620969053</x:v>
      </x:c>
      <x:c r="H125" s="12" t="n">
        <x:v>0.5142056209690529</x:v>
      </x:c>
      <x:c r="I125" s="12" t="n">
        <x:v>6</x:v>
      </x:c>
      <x:c r="J125" s="12" t="n">
        <x:v>0.06</x:v>
      </x:c>
      <x:c r="K125" s="12" t="n">
        <x:v>142920000</x:v>
      </x:c>
      <x:c r="L125" s="12" t="n">
        <x:v>85942143.75067823</x:v>
      </x:c>
      <x:c r="M125" s="12" t="n">
        <x:v>109449.0457317073</x:v>
      </x:c>
      <x:c r="N125" s="12" t="n">
        <x:v>7.727243962181062</x:v>
      </x:c>
      <x:c r="O125" s="12" t="n">
        <x:v>62</x:v>
      </x:c>
      <x:c r="P125" s="12" t="n">
        <x:v>10</x:v>
      </x:c>
      <x:c r="Q125" s="12" t="str">
        <x:v>Conservative design envelope: C=62 MPa from MAT-002 static shear strength and b=10</x:v>
      </x:c>
      <x:c r="R125" s="12" t="n">
        <x:v>0.02265271222116639</x:v>
      </x:c>
      <x:c r="S125" s="12" t="str">
        <x:v>PASS</x:v>
      </x:c>
      <x:c r="T125" s="12" t="n">
        <x:v>0.01440672603118503</x:v>
      </x:c>
      <x:c r="U125" s="12" t="n">
        <x:v>9.662301804959678e-20</x:v>
      </x:c>
      <x:c r="V125" s="12" t="str">
        <x:v>SOURCED_CURVE_PASS</x:v>
      </x:c>
    </x:row>
    <x:row r="126" ht="66" hidden="0" customHeight="1">
      <x:c r="A126" s="12" t="str">
        <x:v>nominal_b10_split0</x:v>
      </x:c>
      <x:c r="B126" s="12" t="n">
        <x:v>43.05</x:v>
      </x:c>
      <x:c r="C126" s="12" t="str">
        <x:v>forward</x:v>
      </x:c>
      <x:c r="D126" s="12" t="str">
        <x:v>fatigue_robust_final</x:v>
      </x:c>
      <x:c r="E126" s="12" t="str">
        <x:v>stiffness_based</x:v>
      </x:c>
      <x:c r="F126" s="12" t="n">
        <x:v>0</x:v>
      </x:c>
      <x:c r="G126" s="12" t="n">
        <x:v>0.47480981461616734</x:v>
      </x:c>
      <x:c r="H126" s="12" t="n">
        <x:v>0.47480981461616734</x:v>
      </x:c>
      <x:c r="I126" s="12" t="n">
        <x:v>5</x:v>
      </x:c>
      <x:c r="J126" s="12" t="n">
        <x:v>0.06</x:v>
      </x:c>
      <x:c r="K126" s="12" t="n">
        <x:v>119320000</x:v>
      </x:c>
      <x:c r="L126" s="12" t="n">
        <x:v>63116126.4708</x:v>
      </x:c>
      <x:c r="M126" s="12" t="n">
        <x:v>89133.32723577239</x:v>
      </x:c>
      <x:c r="N126" s="12" t="n">
        <x:v>7.912276864552546</x:v>
      </x:c>
      <x:c r="O126" s="12" t="n">
        <x:v>62</x:v>
      </x:c>
      <x:c r="P126" s="12" t="n">
        <x:v>10</x:v>
      </x:c>
      <x:c r="Q126" s="12" t="str">
        <x:v>Conservative design envelope: C=62 MPa from MAT-002 static shear strength and b=10</x:v>
      </x:c>
      <x:c r="R126" s="12" t="n">
        <x:v>0.028700451237074705</x:v>
      </x:c>
      <x:c r="S126" s="12" t="str">
        <x:v>PASS</x:v>
      </x:c>
      <x:c r="T126" s="12" t="n">
        <x:v>0.01475170262882678</x:v>
      </x:c>
      <x:c r="U126" s="12" t="n">
        <x:v>1.2859526192813126e-19</x:v>
      </x:c>
      <x:c r="V126" s="12" t="str">
        <x:v>SOURCED_CURVE_PASS</x:v>
      </x:c>
    </x:row>
    <x:row r="127" ht="66" hidden="0" customHeight="1">
      <x:c r="A127" s="12" t="str">
        <x:v>nominal_b10_split0</x:v>
      </x:c>
      <x:c r="B127" s="12" t="n">
        <x:v>43.05</x:v>
      </x:c>
      <x:c r="C127" s="12" t="str">
        <x:v>aft</x:v>
      </x:c>
      <x:c r="D127" s="12" t="str">
        <x:v>fatigue_robust_final</x:v>
      </x:c>
      <x:c r="E127" s="12" t="str">
        <x:v>stiffness_based</x:v>
      </x:c>
      <x:c r="F127" s="12" t="n">
        <x:v>0</x:v>
      </x:c>
      <x:c r="G127" s="12" t="n">
        <x:v>0.5251901853838327</x:v>
      </x:c>
      <x:c r="H127" s="12" t="n">
        <x:v>0.5251901853838327</x:v>
      </x:c>
      <x:c r="I127" s="12" t="n">
        <x:v>6</x:v>
      </x:c>
      <x:c r="J127" s="12" t="n">
        <x:v>0.06</x:v>
      </x:c>
      <x:c r="K127" s="12" t="n">
        <x:v>142920000</x:v>
      </x:c>
      <x:c r="L127" s="12" t="n">
        <x:v>69813152.84879999</x:v>
      </x:c>
      <x:c r="M127" s="12" t="n">
        <x:v>89133.32723577239</x:v>
      </x:c>
      <x:c r="N127" s="12" t="n">
        <x:v>7.912276864552546</x:v>
      </x:c>
      <x:c r="O127" s="12" t="n">
        <x:v>62</x:v>
      </x:c>
      <x:c r="P127" s="12" t="n">
        <x:v>10</x:v>
      </x:c>
      <x:c r="Q127" s="12" t="str">
        <x:v>Conservative design envelope: C=62 MPa from MAT-002 static shear strength and b=10</x:v>
      </x:c>
      <x:c r="R127" s="12" t="n">
        <x:v>0.028700451237074705</x:v>
      </x:c>
      <x:c r="S127" s="12" t="str">
        <x:v>PASS</x:v>
      </x:c>
      <x:c r="T127" s="12" t="n">
        <x:v>0.01475170262882678</x:v>
      </x:c>
      <x:c r="U127" s="12" t="n">
        <x:v>1.2859526192813126e-19</x:v>
      </x:c>
      <x:c r="V127" s="12" t="str">
        <x:v>SOURCED_CURVE_PASS</x:v>
      </x:c>
    </x:row>
    <x:row r="128" ht="66" hidden="0" customHeight="1">
      <x:c r="A128" s="12" t="str">
        <x:v>nominal_b10_split0</x:v>
      </x:c>
      <x:c r="B128" s="12" t="n">
        <x:v>47.15</x:v>
      </x:c>
      <x:c r="C128" s="12" t="str">
        <x:v>forward</x:v>
      </x:c>
      <x:c r="D128" s="12" t="str">
        <x:v>fatigue_robust_final</x:v>
      </x:c>
      <x:c r="E128" s="12" t="str">
        <x:v>stiffness_based</x:v>
      </x:c>
      <x:c r="F128" s="12" t="n">
        <x:v>0</x:v>
      </x:c>
      <x:c r="G128" s="12" t="n">
        <x:v>0.47669599296610016</x:v>
      </x:c>
      <x:c r="H128" s="12" t="n">
        <x:v>0.47669599296610016</x:v>
      </x:c>
      <x:c r="I128" s="12" t="n">
        <x:v>5</x:v>
      </x:c>
      <x:c r="J128" s="12" t="n">
        <x:v>0.06</x:v>
      </x:c>
      <x:c r="K128" s="12" t="n">
        <x:v>119320000</x:v>
      </x:c>
      <x:c r="L128" s="12" t="n">
        <x:v>57587988.63151999</x:v>
      </x:c>
      <x:c r="M128" s="12" t="n">
        <x:v>63354.48373983739</x:v>
      </x:c>
      <x:c r="N128" s="12" t="n">
        <x:v>6.188265733602993</x:v>
      </x:c>
      <x:c r="O128" s="12" t="n">
        <x:v>62</x:v>
      </x:c>
      <x:c r="P128" s="12" t="n">
        <x:v>10</x:v>
      </x:c>
      <x:c r="Q128" s="12" t="str">
        <x:v>Conservative design envelope: C=62 MPa from MAT-002 static shear strength and b=10</x:v>
      </x:c>
      <x:c r="R128" s="12" t="n">
        <x:v>0.00245789607470794</x:v>
      </x:c>
      <x:c r="S128" s="12" t="str">
        <x:v>PASS</x:v>
      </x:c>
      <x:c r="T128" s="12" t="n">
        <x:v>0.011537444588073377</x:v>
      </x:c>
      <x:c r="U128" s="12" t="n">
        <x:v>6.605354264088356e-21</x:v>
      </x:c>
      <x:c r="V128" s="12" t="str">
        <x:v>SOURCED_CURVE_PASS</x:v>
      </x:c>
    </x:row>
    <x:row r="129" ht="66" hidden="0" customHeight="1">
      <x:c r="A129" s="12" t="str">
        <x:v>nominal_b10_split0</x:v>
      </x:c>
      <x:c r="B129" s="12" t="n">
        <x:v>47.15</x:v>
      </x:c>
      <x:c r="C129" s="12" t="str">
        <x:v>aft</x:v>
      </x:c>
      <x:c r="D129" s="12" t="str">
        <x:v>fatigue_robust_final</x:v>
      </x:c>
      <x:c r="E129" s="12" t="str">
        <x:v>stiffness_based</x:v>
      </x:c>
      <x:c r="F129" s="12" t="n">
        <x:v>0</x:v>
      </x:c>
      <x:c r="G129" s="12" t="n">
        <x:v>0.5233040070338998</x:v>
      </x:c>
      <x:c r="H129" s="12" t="n">
        <x:v>0.5233040070338999</x:v>
      </x:c>
      <x:c r="I129" s="12" t="n">
        <x:v>6</x:v>
      </x:c>
      <x:c r="J129" s="12" t="n">
        <x:v>0.06</x:v>
      </x:c>
      <x:c r="K129" s="12" t="n">
        <x:v>142920000</x:v>
      </x:c>
      <x:c r="L129" s="12" t="n">
        <x:v>63218541.06719998</x:v>
      </x:c>
      <x:c r="M129" s="12" t="n">
        <x:v>63354.48373983739</x:v>
      </x:c>
      <x:c r="N129" s="12" t="n">
        <x:v>6.188265733602994</x:v>
      </x:c>
      <x:c r="O129" s="12" t="n">
        <x:v>62</x:v>
      </x:c>
      <x:c r="P129" s="12" t="n">
        <x:v>10</x:v>
      </x:c>
      <x:c r="Q129" s="12" t="str">
        <x:v>Conservative design envelope: C=62 MPa from MAT-002 static shear strength and b=10</x:v>
      </x:c>
      <x:c r="R129" s="12" t="n">
        <x:v>0.0024578960747079453</x:v>
      </x:c>
      <x:c r="S129" s="12" t="str">
        <x:v>PASS</x:v>
      </x:c>
      <x:c r="T129" s="12" t="n">
        <x:v>0.01153744458807338</x:v>
      </x:c>
      <x:c r="U129" s="12" t="n">
        <x:v>6.605354264088367e-21</x:v>
      </x:c>
      <x:c r="V129" s="12" t="str">
        <x:v>SOURCED_CURVE_PASS</x:v>
      </x:c>
    </x:row>
    <x:row r="130" ht="66" hidden="0" customHeight="1">
      <x:c r="A130" s="12" t="str">
        <x:v>nominal_b10_split0</x:v>
      </x:c>
      <x:c r="B130" s="12" t="n">
        <x:v>51.25</x:v>
      </x:c>
      <x:c r="C130" s="12" t="str">
        <x:v>forward</x:v>
      </x:c>
      <x:c r="D130" s="12" t="str">
        <x:v>fatigue_robust_final</x:v>
      </x:c>
      <x:c r="E130" s="12" t="str">
        <x:v>stiffness_based</x:v>
      </x:c>
      <x:c r="F130" s="12" t="n">
        <x:v>0</x:v>
      </x:c>
      <x:c r="G130" s="12" t="n">
        <x:v>0.4788023795618062</x:v>
      </x:c>
      <x:c r="H130" s="12" t="n">
        <x:v>0.4788023795618062</x:v>
      </x:c>
      <x:c r="I130" s="12" t="n">
        <x:v>5</x:v>
      </x:c>
      <x:c r="J130" s="12" t="n">
        <x:v>0.06</x:v>
      </x:c>
      <x:c r="K130" s="12" t="n">
        <x:v>119320000</x:v>
      </x:c>
      <x:c r="L130" s="12" t="n">
        <x:v>52013768.69232</x:v>
      </x:c>
      <x:c r="M130" s="12" t="n">
        <x:v>42286.83035365047</x:v>
      </x:c>
      <x:c r="N130" s="12" t="n">
        <x:v>4.593303253667847</x:v>
      </x:c>
      <x:c r="O130" s="12" t="n">
        <x:v>62</x:v>
      </x:c>
      <x:c r="P130" s="12" t="n">
        <x:v>10</x:v>
      </x:c>
      <x:c r="Q130" s="12" t="str">
        <x:v>Conservative design envelope: C=62 MPa from MAT-002 static shear strength and b=10</x:v>
      </x:c>
      <x:c r="R130" s="12" t="n">
        <x:v>0.00012477430441738143</x:v>
      </x:c>
      <x:c r="S130" s="12" t="str">
        <x:v>PASS</x:v>
      </x:c>
      <x:c r="T130" s="12" t="n">
        <x:v>0.008563785727177343</x:v>
      </x:c>
      <x:c r="U130" s="12" t="n">
        <x:v>1.8039088030640051e-22</x:v>
      </x:c>
      <x:c r="V130" s="12" t="str">
        <x:v>SOURCED_CURVE_PASS</x:v>
      </x:c>
    </x:row>
    <x:row r="131" ht="66" hidden="0" customHeight="1">
      <x:c r="A131" s="12" t="str">
        <x:v>nominal_b10_split0</x:v>
      </x:c>
      <x:c r="B131" s="12" t="n">
        <x:v>51.25</x:v>
      </x:c>
      <x:c r="C131" s="12" t="str">
        <x:v>aft</x:v>
      </x:c>
      <x:c r="D131" s="12" t="str">
        <x:v>fatigue_robust_final</x:v>
      </x:c>
      <x:c r="E131" s="12" t="str">
        <x:v>stiffness_based</x:v>
      </x:c>
      <x:c r="F131" s="12" t="n">
        <x:v>0</x:v>
      </x:c>
      <x:c r="G131" s="12" t="n">
        <x:v>0.5211976204381937</x:v>
      </x:c>
      <x:c r="H131" s="12" t="n">
        <x:v>0.5211976204381938</x:v>
      </x:c>
      <x:c r="I131" s="12" t="n">
        <x:v>6</x:v>
      </x:c>
      <x:c r="J131" s="12" t="n">
        <x:v>0.06</x:v>
      </x:c>
      <x:c r="K131" s="12" t="n">
        <x:v>142920000</x:v>
      </x:c>
      <x:c r="L131" s="12" t="n">
        <x:v>56619293.53247999</x:v>
      </x:c>
      <x:c r="M131" s="12" t="n">
        <x:v>42286.83035365047</x:v>
      </x:c>
      <x:c r="N131" s="12" t="n">
        <x:v>4.593303253667848</x:v>
      </x:c>
      <x:c r="O131" s="12" t="n">
        <x:v>62</x:v>
      </x:c>
      <x:c r="P131" s="12" t="n">
        <x:v>10</x:v>
      </x:c>
      <x:c r="Q131" s="12" t="str">
        <x:v>Conservative design envelope: C=62 MPa from MAT-002 static shear strength and b=10</x:v>
      </x:c>
      <x:c r="R131" s="12" t="n">
        <x:v>0.0001247743044173816</x:v>
      </x:c>
      <x:c r="S131" s="12" t="str">
        <x:v>PASS</x:v>
      </x:c>
      <x:c r="T131" s="12" t="n">
        <x:v>0.008563785727177345</x:v>
      </x:c>
      <x:c r="U131" s="12" t="n">
        <x:v>1.8039088030640087e-22</x:v>
      </x:c>
      <x:c r="V131" s="12" t="str">
        <x:v>SOURCED_CURVE_PASS</x:v>
      </x:c>
    </x:row>
    <x:row r="132" ht="66" hidden="0" customHeight="1">
      <x:c r="A132" s="12" t="str">
        <x:v>nominal_b10_split0</x:v>
      </x:c>
      <x:c r="B132" s="12" t="n">
        <x:v>54.6667</x:v>
      </x:c>
      <x:c r="C132" s="12" t="str">
        <x:v>forward</x:v>
      </x:c>
      <x:c r="D132" s="12" t="str">
        <x:v>fatigue_robust_final</x:v>
      </x:c>
      <x:c r="E132" s="12" t="str">
        <x:v>stiffness_based</x:v>
      </x:c>
      <x:c r="F132" s="12" t="n">
        <x:v>0</x:v>
      </x:c>
      <x:c r="G132" s="12" t="n">
        <x:v>0.4808950738578863</x:v>
      </x:c>
      <x:c r="H132" s="12" t="n">
        <x:v>0.4808950738578863</x:v>
      </x:c>
      <x:c r="I132" s="12" t="n">
        <x:v>5</x:v>
      </x:c>
      <x:c r="J132" s="12" t="n">
        <x:v>0.06</x:v>
      </x:c>
      <x:c r="K132" s="12" t="n">
        <x:v>119320000</x:v>
      </x:c>
      <x:c r="L132" s="12" t="n">
        <x:v>47319497.71848</x:v>
      </x:c>
      <x:c r="M132" s="12" t="n">
        <x:v>22598.442694669757</x:v>
      </x:c>
      <x:c r="N132" s="12" t="n">
        <x:v>2.710008927691784</x:v>
      </x:c>
      <x:c r="O132" s="12" t="n">
        <x:v>62</x:v>
      </x:c>
      <x:c r="P132" s="12" t="n">
        <x:v>10</x:v>
      </x:c>
      <x:c r="Q132" s="12" t="str">
        <x:v>Conservative design envelope: C=62 MPa from MAT-002 static shear strength and b=10</x:v>
      </x:c>
      <x:c r="R132" s="12" t="n">
        <x:v>6.376482688157219e-7</x:v>
      </x:c>
      <x:c r="S132" s="12" t="str">
        <x:v>PASS</x:v>
      </x:c>
      <x:c r="T132" s="12" t="n">
        <x:v>0.005052559017730445</x:v>
      </x:c>
      <x:c r="U132" s="12" t="n">
        <x:v>3.0763054798848944e-25</x:v>
      </x:c>
      <x:c r="V132" s="12" t="str">
        <x:v>SOURCED_CURVE_PASS</x:v>
      </x:c>
    </x:row>
    <x:row r="133" ht="66" hidden="0" customHeight="1">
      <x:c r="A133" s="12" t="str">
        <x:v>nominal_b10_split0</x:v>
      </x:c>
      <x:c r="B133" s="12" t="n">
        <x:v>54.6667</x:v>
      </x:c>
      <x:c r="C133" s="12" t="str">
        <x:v>aft</x:v>
      </x:c>
      <x:c r="D133" s="12" t="str">
        <x:v>fatigue_robust_final</x:v>
      </x:c>
      <x:c r="E133" s="12" t="str">
        <x:v>stiffness_based</x:v>
      </x:c>
      <x:c r="F133" s="12" t="n">
        <x:v>0</x:v>
      </x:c>
      <x:c r="G133" s="12" t="n">
        <x:v>0.5191049261421137</x:v>
      </x:c>
      <x:c r="H133" s="12" t="n">
        <x:v>0.5191049261421137</x:v>
      </x:c>
      <x:c r="I133" s="12" t="n">
        <x:v>6</x:v>
      </x:c>
      <x:c r="J133" s="12" t="n">
        <x:v>0.06</x:v>
      </x:c>
      <x:c r="K133" s="12" t="n">
        <x:v>142920000</x:v>
      </x:c>
      <x:c r="L133" s="12" t="n">
        <x:v>51079301.293680005</x:v>
      </x:c>
      <x:c r="M133" s="12" t="n">
        <x:v>22598.442694669757</x:v>
      </x:c>
      <x:c r="N133" s="12" t="n">
        <x:v>2.7100089276917845</x:v>
      </x:c>
      <x:c r="O133" s="12" t="n">
        <x:v>62</x:v>
      </x:c>
      <x:c r="P133" s="12" t="n">
        <x:v>10</x:v>
      </x:c>
      <x:c r="Q133" s="12" t="str">
        <x:v>Conservative design envelope: C=62 MPa from MAT-002 static shear strength and b=10</x:v>
      </x:c>
      <x:c r="R133" s="12" t="n">
        <x:v>6.376482688157233e-7</x:v>
      </x:c>
      <x:c r="S133" s="12" t="str">
        <x:v>PASS</x:v>
      </x:c>
      <x:c r="T133" s="12" t="n">
        <x:v>0.005052559017730446</x:v>
      </x:c>
      <x:c r="U133" s="12" t="n">
        <x:v>3.076305479884905e-25</x:v>
      </x:c>
      <x:c r="V133" s="12" t="str">
        <x:v>SOURCED_CURVE_PASS</x:v>
      </x:c>
    </x:row>
    <x:row r="134" ht="66" hidden="0" customHeight="1">
      <x:c r="A134" s="12" t="str">
        <x:v>nominal_b10_split0</x:v>
      </x:c>
      <x:c r="B134" s="12" t="n">
        <x:v>57.4</x:v>
      </x:c>
      <x:c r="C134" s="12" t="str">
        <x:v>forward</x:v>
      </x:c>
      <x:c r="D134" s="12" t="str">
        <x:v>fatigue_robust_final</x:v>
      </x:c>
      <x:c r="E134" s="12" t="str">
        <x:v>stiffness_based</x:v>
      </x:c>
      <x:c r="F134" s="12" t="n">
        <x:v>0</x:v>
      </x:c>
      <x:c r="G134" s="12" t="n">
        <x:v>0.4836841674233965</x:v>
      </x:c>
      <x:c r="H134" s="12" t="n">
        <x:v>0.4836841674233965</x:v>
      </x:c>
      <x:c r="I134" s="12" t="n">
        <x:v>5</x:v>
      </x:c>
      <x:c r="J134" s="12" t="n">
        <x:v>0.06</x:v>
      </x:c>
      <x:c r="K134" s="12" t="n">
        <x:v>119320000</x:v>
      </x:c>
      <x:c r="L134" s="12" t="n">
        <x:v>42047222.528</x:v>
      </x:c>
      <x:c r="M134" s="12" t="n">
        <x:v>11370.47410334273</x:v>
      </x:c>
      <x:c r="N134" s="12" t="n">
        <x:v>1.5434236089059783</x:v>
      </x:c>
      <x:c r="O134" s="12" t="n">
        <x:v>62</x:v>
      </x:c>
      <x:c r="P134" s="12" t="n">
        <x:v>10</x:v>
      </x:c>
      <x:c r="Q134" s="12" t="str">
        <x:v>Conservative design envelope: C=62 MPa from MAT-002 static shear strength and b=10</x:v>
      </x:c>
      <x:c r="R134" s="12" t="n">
        <x:v>2.289419409060548e-9</x:v>
      </x:c>
      <x:c r="S134" s="12" t="str">
        <x:v>PASS</x:v>
      </x:c>
      <x:c r="T134" s="12" t="n">
        <x:v>0.0028775694403331796</x:v>
      </x:c>
      <x:c r="U134" s="12" t="n">
        <x:v>3.4248663063919832e-28</x:v>
      </x:c>
      <x:c r="V134" s="12" t="str">
        <x:v>SOURCED_CURVE_PASS</x:v>
      </x:c>
    </x:row>
    <x:row r="135" ht="66" hidden="0" customHeight="1">
      <x:c r="A135" s="12" t="str">
        <x:v>nominal_b10_split0</x:v>
      </x:c>
      <x:c r="B135" s="12" t="n">
        <x:v>57.4</x:v>
      </x:c>
      <x:c r="C135" s="12" t="str">
        <x:v>aft</x:v>
      </x:c>
      <x:c r="D135" s="12" t="str">
        <x:v>fatigue_robust_final</x:v>
      </x:c>
      <x:c r="E135" s="12" t="str">
        <x:v>stiffness_based</x:v>
      </x:c>
      <x:c r="F135" s="12" t="n">
        <x:v>0</x:v>
      </x:c>
      <x:c r="G135" s="12" t="n">
        <x:v>0.5163158325766035</x:v>
      </x:c>
      <x:c r="H135" s="12" t="n">
        <x:v>0.5163158325766035</x:v>
      </x:c>
      <x:c r="I135" s="12" t="n">
        <x:v>6</x:v>
      </x:c>
      <x:c r="J135" s="12" t="n">
        <x:v>0.06</x:v>
      </x:c>
      <x:c r="K135" s="12" t="n">
        <x:v>142920000</x:v>
      </x:c>
      <x:c r="L135" s="12" t="n">
        <x:v>44883930.815280005</x:v>
      </x:c>
      <x:c r="M135" s="12" t="n">
        <x:v>11370.47410334273</x:v>
      </x:c>
      <x:c r="N135" s="12" t="n">
        <x:v>1.5434236089059783</x:v>
      </x:c>
      <x:c r="O135" s="12" t="n">
        <x:v>62</x:v>
      </x:c>
      <x:c r="P135" s="12" t="n">
        <x:v>10</x:v>
      </x:c>
      <x:c r="Q135" s="12" t="str">
        <x:v>Conservative design envelope: C=62 MPa from MAT-002 static shear strength and b=10</x:v>
      </x:c>
      <x:c r="R135" s="12" t="n">
        <x:v>2.289419409060548e-9</x:v>
      </x:c>
      <x:c r="S135" s="12" t="str">
        <x:v>PASS</x:v>
      </x:c>
      <x:c r="T135" s="12" t="n">
        <x:v>0.0028775694403331796</x:v>
      </x:c>
      <x:c r="U135" s="12" t="n">
        <x:v>3.4248663063919832e-28</x:v>
      </x:c>
      <x:c r="V135" s="12" t="str">
        <x:v>SOURCED_CURVE_PASS</x:v>
      </x:c>
    </x:row>
    <x:row r="136" ht="66" hidden="0" customHeight="1">
      <x:c r="A136" s="12" t="str">
        <x:v>nominal_b10_split0</x:v>
      </x:c>
      <x:c r="B136" s="12" t="n">
        <x:v>60.1333</x:v>
      </x:c>
      <x:c r="C136" s="12" t="str">
        <x:v>forward</x:v>
      </x:c>
      <x:c r="D136" s="12" t="str">
        <x:v>fatigue_robust_final</x:v>
      </x:c>
      <x:c r="E136" s="12" t="str">
        <x:v>stiffness_based</x:v>
      </x:c>
      <x:c r="F136" s="12" t="n">
        <x:v>0</x:v>
      </x:c>
      <x:c r="G136" s="12" t="n">
        <x:v>0.4960448767108119</x:v>
      </x:c>
      <x:c r="H136" s="12" t="n">
        <x:v>0.4960448767108119</x:v>
      </x:c>
      <x:c r="I136" s="12" t="n">
        <x:v>5</x:v>
      </x:c>
      <x:c r="J136" s="12" t="n">
        <x:v>0.06</x:v>
      </x:c>
      <x:c r="K136" s="12" t="n">
        <x:v>119320000</x:v>
      </x:c>
      <x:c r="L136" s="12" t="n">
        <x:v>25786868.169719998</x:v>
      </x:c>
      <x:c r="M136" s="12" t="n">
        <x:v>10802.088976694842</x:v>
      </x:c>
      <x:c r="N136" s="12" t="n">
        <x:v>2.4519529142076326</x:v>
      </x:c>
      <x:c r="O136" s="12" t="n">
        <x:v>62</x:v>
      </x:c>
      <x:c r="P136" s="12" t="n">
        <x:v>10</x:v>
      </x:c>
      <x:c r="Q136" s="12" t="str">
        <x:v>Conservative design envelope: C=62 MPa from MAT-002 static shear strength and b=10</x:v>
      </x:c>
      <x:c r="R136" s="12" t="n">
        <x:v>2.3442030629416864e-7</x:v>
      </x:c>
      <x:c r="S136" s="12" t="str">
        <x:v>PASS</x:v>
      </x:c>
      <x:c r="T136" s="12" t="n">
        <x:v>0.004571437636658298</x:v>
      </x:c>
      <x:c r="U136" s="12" t="n">
        <x:v>9.184375352096003e-26</x:v>
      </x:c>
      <x:c r="V136" s="12" t="str">
        <x:v>SOURCED_CURVE_PASS</x:v>
      </x:c>
    </x:row>
    <x:row r="137" ht="66" hidden="0" customHeight="1">
      <x:c r="A137" s="12" t="str">
        <x:v>nominal_b10_split0</x:v>
      </x:c>
      <x:c r="B137" s="12" t="n">
        <x:v>60.1333</x:v>
      </x:c>
      <x:c r="C137" s="12" t="str">
        <x:v>aft</x:v>
      </x:c>
      <x:c r="D137" s="12" t="str">
        <x:v>fatigue_robust_final</x:v>
      </x:c>
      <x:c r="E137" s="12" t="str">
        <x:v>stiffness_based</x:v>
      </x:c>
      <x:c r="F137" s="12" t="n">
        <x:v>0</x:v>
      </x:c>
      <x:c r="G137" s="12" t="n">
        <x:v>0.5039551232891881</x:v>
      </x:c>
      <x:c r="H137" s="12" t="n">
        <x:v>0.5039551232891881</x:v>
      </x:c>
      <x:c r="I137" s="12" t="n">
        <x:v>6</x:v>
      </x:c>
      <x:c r="J137" s="12" t="n">
        <x:v>0.06</x:v>
      </x:c>
      <x:c r="K137" s="12" t="n">
        <x:v>142920000</x:v>
      </x:c>
      <x:c r="L137" s="12" t="n">
        <x:v>26198081.94348</x:v>
      </x:c>
      <x:c r="M137" s="12" t="n">
        <x:v>10802.088976694842</x:v>
      </x:c>
      <x:c r="N137" s="12" t="n">
        <x:v>2.451952914207632</x:v>
      </x:c>
      <x:c r="O137" s="12" t="n">
        <x:v>62</x:v>
      </x:c>
      <x:c r="P137" s="12" t="n">
        <x:v>10</x:v>
      </x:c>
      <x:c r="Q137" s="12" t="str">
        <x:v>Conservative design envelope: C=62 MPa from MAT-002 static shear strength and b=10</x:v>
      </x:c>
      <x:c r="R137" s="12" t="n">
        <x:v>2.3442030629416803e-7</x:v>
      </x:c>
      <x:c r="S137" s="12" t="str">
        <x:v>PASS</x:v>
      </x:c>
      <x:c r="T137" s="12" t="n">
        <x:v>0.0045714376366582975</x:v>
      </x:c>
      <x:c r="U137" s="12" t="n">
        <x:v>9.184375352096003e-26</x:v>
      </x:c>
      <x:c r="V137" s="12" t="str">
        <x:v>SOURCED_CURVE_PASS</x:v>
      </x:c>
    </x:row>
  </x:sheetData>
  <x:conditionalFormatting sqref="J2:J103">
    <x:cfRule type="cellIs" dxfId="3" priority="1" operator="greaterThan">
      <x:formula>1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6" max="6" width="24" hidden="0" customWidth="1"/>
    <x:col min="7" max="7" width="24" hidden="0" customWidth="1"/>
    <x:col min="5" max="5" width="24" hidden="0" customWidth="1"/>
    <x:col min="8" max="8" width="24" hidden="0" customWidth="1"/>
  </x:cols>
  <x:sheetData>
    <x:row r="1" ht="19.200000762939453" hidden="0" customHeight="1">
      <x:c r="A1" s="215" t="str">
        <x:v>FINAL ROBUST WEB ARCHITECTURE</x:v>
      </x:c>
      <x:c r="B1" s="215"/>
      <x:c r="C1" s="215"/>
      <x:c r="D1" s="215"/>
      <x:c r="E1" s="215"/>
      <x:c r="F1" s="215"/>
      <x:c r="G1" s="215"/>
      <x:c r="H1" s="215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</x:row>
    <x:row r="3" ht="15" hidden="0" customHeight="1">
      <x:c r="A3" s="212" t="str">
        <x:v>web</x:v>
      </x:c>
      <x:c r="B3" s="216" t="str">
        <x:v>start_m</x:v>
      </x:c>
      <x:c r="C3" s="216" t="str">
        <x:v>end_m</x:v>
      </x:c>
      <x:c r="D3" s="216" t="str">
        <x:v>face_layers_each_side</x:v>
      </x:c>
      <x:c r="E3" s="213" t="str">
        <x:v>core_thickness_m</x:v>
      </x:c>
      <x:c r="F3" s="12"/>
      <x:c r="G3" s="12"/>
      <x:c r="H3" s="12"/>
    </x:row>
    <x:row r="4" ht="15" hidden="0" customHeight="1">
      <x:c r="A4" s="12" t="str">
        <x:v>forward</x:v>
      </x:c>
      <x:c r="B4" s="12" t="n">
        <x:v>1.3667</x:v>
      </x:c>
      <x:c r="C4" s="12" t="n">
        <x:v>60.1333</x:v>
      </x:c>
      <x:c r="D4" s="12" t="n">
        <x:v>5</x:v>
      </x:c>
      <x:c r="E4" s="12" t="n">
        <x:v>0.06</x:v>
      </x:c>
      <x:c r="F4" s="12"/>
      <x:c r="G4" s="12"/>
      <x:c r="H4" s="12"/>
    </x:row>
    <x:row r="5" ht="15" hidden="0" customHeight="1">
      <x:c r="A5" s="12" t="str">
        <x:v>aft</x:v>
      </x:c>
      <x:c r="B5" s="12" t="n">
        <x:v>1.3667</x:v>
      </x:c>
      <x:c r="C5" s="12" t="n">
        <x:v>60.1333</x:v>
      </x:c>
      <x:c r="D5" s="12" t="n">
        <x:v>6</x:v>
      </x:c>
      <x:c r="E5" s="12" t="n">
        <x:v>0.06</x:v>
      </x:c>
      <x:c r="F5" s="12"/>
      <x:c r="G5" s="12"/>
      <x:c r="H5" s="12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</x:row>
    <x:row r="7" ht="15" hidden="0" customHeight="1">
      <x:c r="A7" s="12"/>
      <x:c r="B7" s="12"/>
      <x:c r="C7" s="12"/>
      <x:c r="D7" s="12"/>
      <x:c r="E7" s="12"/>
      <x:c r="F7" s="12"/>
      <x:c r="G7" s="12"/>
      <x:c r="H7" s="12"/>
    </x:row>
    <x:row r="8" ht="15" hidden="0" customHeight="1">
      <x:c r="A8" s="212" t="str">
        <x:v>Design</x:v>
      </x:c>
      <x:c r="B8" s="216" t="str">
        <x:v>Spanwise zones/web</x:v>
      </x:c>
      <x:c r="C8" s="216" t="str">
        <x:v>Maximum layer step</x:v>
      </x:c>
      <x:c r="D8" s="213" t="str">
        <x:v>Result</x:v>
      </x:c>
      <x:c r="E8" s="12"/>
      <x:c r="F8" s="12"/>
      <x:c r="G8" s="12"/>
      <x:c r="H8" s="12"/>
    </x:row>
    <x:row r="9" ht="15" hidden="0" customHeight="1">
      <x:c r="A9" s="12" t="str">
        <x:v>Day 4 baseline</x:v>
      </x:c>
      <x:c r="B9" s="12" t="str">
        <x:v>multiple</x:v>
      </x:c>
      <x:c r="C9" s="12" t="n">
        <x:v>1</x:v>
      </x:c>
      <x:c r="D9" s="12" t="str">
        <x:v>Historical — fatigue FAIL</x:v>
      </x:c>
      <x:c r="E9" s="12"/>
      <x:c r="F9" s="12"/>
      <x:c r="G9" s="12"/>
      <x:c r="H9" s="12"/>
    </x:row>
    <x:row r="10" ht="15" hidden="0" customHeight="1">
      <x:c r="A10" s="12" t="str">
        <x:v>Legacy Phase 7</x:v>
      </x:c>
      <x:c r="B10" s="12" t="str">
        <x:v>7</x:v>
      </x:c>
      <x:c r="C10" s="12" t="n">
        <x:v>1</x:v>
      </x:c>
      <x:c r="D10" s="12" t="str">
        <x:v>Historical — sensitivities FAIL</x:v>
      </x:c>
      <x:c r="E10" s="12"/>
      <x:c r="F10" s="12"/>
      <x:c r="G10" s="12"/>
      <x:c r="H10" s="12"/>
    </x:row>
    <x:row r="11" ht="15" hidden="0" customHeight="1">
      <x:c r="A11" s="214" t="str">
        <x:v>Final v5</x:v>
      </x:c>
      <x:c r="B11" s="214" t="str">
        <x:v>1</x:v>
      </x:c>
      <x:c r="C11" s="214" t="n">
        <x:v>0</x:v>
      </x:c>
      <x:c r="D11" s="214" t="str">
        <x:v>ROBUST PASS</x:v>
      </x:c>
      <x:c r="E11" s="12"/>
      <x:c r="F11" s="12"/>
      <x:c r="G11" s="12"/>
      <x:c r="H11" s="12"/>
    </x:row>
    <x:row r="12" ht="26.399999618530273" hidden="0" customHeight="1">
      <x:c r="A12" s="12" t="str">
        <x:v>CAD</x:v>
      </x:c>
      <x:c r="B12" s="12" t="str">
        <x:v>v5</x:v>
      </x:c>
      <x:c r="C12" s="12"/>
      <x:c r="D12" s="12" t="str">
        <x:v>Separate model; v3/v4 unchanged</x:v>
      </x:c>
      <x:c r="E12" s="12"/>
      <x:c r="F12" s="12"/>
      <x:c r="G12" s="12"/>
      <x:c r="H12" s="12"/>
    </x:row>
    <x:row r="13" ht="15" hidden="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15" hidden="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15" hidden="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15" hidden="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15" hidden="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</x:row>
  </x:sheetData>
  <x:mergeCells>
    <x:mergeCell ref="A1:H1"/>
  </x:mergeCells>
  <x:conditionalFormatting sqref="C2:C18">
    <x:cfRule type="dataBar" priority="1">
      <x:dataBar>
        <x:cfvo type="min"/>
        <x:cfvo type="max"/>
        <x:color rgb="FF58D6A0"/>
      </x:dataBar>
      <x:extLst>
        <x:ext xmlns:x14="http://schemas.microsoft.com/office/spreadsheetml/2009/9/main" uri="{B025F937-C7B1-47D3-B67F-A62EFF666E3E}">
          <x14:id>{C807A626-E2EA-BC67-ADD1-2F1F98B853DF}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807A626-E2EA-BC67-ADD1-2F1F98B853DF}">
            <x14:dataBar gradient="1">
              <x14:cfvo type="min"/>
              <x14:cfvo type="max"/>
              <x14:fillColor rgb="FF58D6A0"/>
            </x14:dataBar>
          </x14:cfRule>
          <xm:sqref>C2:C18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 hidden="0" customHeight="1">
      <x:c r="A1" s="212" t="str">
        <x:v>Item</x:v>
      </x:c>
      <x:c r="B1" s="216" t="str">
        <x:v>Value / method</x:v>
      </x:c>
      <x:c r="C1" s="216" t="str">
        <x:v>Status</x:v>
      </x:c>
      <x:c r="D1" s="213" t="str">
        <x:v>Source URL</x:v>
      </x:c>
    </x:row>
    <x:row r="2" ht="39.599998474121094" hidden="0" customHeight="1">
      <x:c r="A2" s="12" t="str">
        <x:v>Design life</x:v>
      </x:c>
      <x:c r="B2" s="12" t="n">
        <x:v>20</x:v>
      </x:c>
      <x:c r="C2" s="12" t="str">
        <x:v>SOURCED</x:v>
      </x:c>
      <x:c r="D2" s="12" t="str">
        <x:v>https://digital.library.unt.edu/ark:/67531/metadc836285/m2/1/high_res_d/1095962.pdf</x:v>
      </x:c>
    </x:row>
    <x:row r="3" ht="26.399999618530273" hidden="0" customHeight="1">
      <x:c r="A3" s="12" t="str">
        <x:v>Fatigue spectrum</x:v>
      </x:c>
      <x:c r="B3" s="12" t="str">
        <x:v>NREL 60 m normalized moment-range shape</x:v>
      </x:c>
      <x:c r="C3" s="12" t="str">
        <x:v>REFERENCE</x:v>
      </x:c>
      <x:c r="D3" s="12" t="str">
        <x:v>https://docs.nrel.gov/docs/fy16osti/65227.pdf</x:v>
      </x:c>
    </x:row>
    <x:row r="4" ht="15" hidden="0" customHeight="1">
      <x:c r="A4" s="12" t="str">
        <x:v>Robust acceptance</x:v>
      </x:c>
      <x:c r="B4" s="12" t="str">
        <x:v>D20 &lt;= 0.70 in all six cases</x:v>
      </x:c>
      <x:c r="C4" s="12" t="str">
        <x:v>PROJECT DECISION</x:v>
      </x:c>
      <x:c r="D4" s="12" t="str">
        <x:v>results/gate_reports/gate_7.md</x:v>
      </x:c>
    </x:row>
    <x:row r="5" ht="26.399999618530273" hidden="0" customHeight="1">
      <x:c r="A5" s="12" t="str">
        <x:v>Web load split</x:v>
      </x:c>
      <x:c r="B5" s="12" t="str">
        <x:v>A66h; forward fraction perturbed -10/0/+10%</x:v>
      </x:c>
      <x:c r="C5" s="12" t="str">
        <x:v>MODEL — ALL PASS</x:v>
      </x:c>
      <x:c r="D5" s="12" t="str">
        <x:v>results/fatigue/robust_design_cases.csv</x:v>
      </x:c>
    </x:row>
    <x:row r="6" ht="15" hidden="0" customHeight="1">
      <x:c r="A6" s="12" t="str">
        <x:v>Saertex measured reference</x:v>
      </x:c>
      <x:c r="B6" s="12" t="str">
        <x:v>VU 90079 R=-1: shear C=78 MPa, b=9.709</x:v>
      </x:c>
      <x:c r="C6" s="12" t="str">
        <x:v>MEASURED FAT-006</x:v>
      </x:c>
      <x:c r="D6" s="12" t="str">
        <x:v>https://doi.org/10.2514/6.2013-1630</x:v>
      </x:c>
    </x:row>
    <x:row r="7" ht="15" hidden="0" customHeight="1">
      <x:c r="A7" s="12" t="str">
        <x:v>DB robust envelope</x:v>
      </x:c>
      <x:c r="B7" s="12" t="str">
        <x:v>C=62 MPa, b=9</x:v>
      </x:c>
      <x:c r="C7" s="12" t="str">
        <x:v>ESTIMATED CONSERVATIVE FAT-008</x:v>
      </x:c>
      <x:c r="D7" s="12" t="str">
        <x:v>data/fatigue/db_h100_sources.md</x:v>
      </x:c>
    </x:row>
    <x:row r="8" ht="26.399999618530273" hidden="0" customHeight="1">
      <x:c r="A8" s="12" t="str">
        <x:v>H100 core fatigue</x:v>
      </x:c>
      <x:c r="B8" s="12" t="str">
        <x:v>C=2.34 MPa, b=12.08, R=0.1</x:v>
      </x:c>
      <x:c r="C8" s="12" t="str">
        <x:v>MEASURED FAT-007</x:v>
      </x:c>
      <x:c r="D8" s="12" t="str">
        <x:v>https://ntrs.nasa.gov/citations/20120015395</x:v>
      </x:c>
    </x:row>
    <x:row r="9" ht="15" hidden="0" customHeight="1">
      <x:c r="A9" s="12" t="str">
        <x:v>Final forward web</x:v>
      </x:c>
      <x:c r="B9" s="12" t="str">
        <x:v>5 DB/side; 60 mm core; one zone</x:v>
      </x:c>
      <x:c r="C9" s="12" t="str">
        <x:v>PASS</x:v>
      </x:c>
      <x:c r="D9" s="12" t="str">
        <x:v>results/fatigue/robust_web_schedule.csv</x:v>
      </x:c>
    </x:row>
    <x:row r="10" ht="15" hidden="0" customHeight="1">
      <x:c r="A10" s="12" t="str">
        <x:v>Final aft web</x:v>
      </x:c>
      <x:c r="B10" s="12" t="str">
        <x:v>6 DB/side; 60 mm core; one zone</x:v>
      </x:c>
      <x:c r="C10" s="12" t="str">
        <x:v>PASS</x:v>
      </x:c>
      <x:c r="D10" s="12" t="str">
        <x:v>results/fatigue/robust_web_schedule.csv</x:v>
      </x:c>
    </x:row>
    <x:row r="11" ht="26.399999618530273" hidden="0" customHeight="1">
      <x:c r="A11" s="12" t="str">
        <x:v>FreeCAD v5</x:v>
      </x:c>
      <x:c r="B11" s="12" t="str">
        <x:v>NREL5MW_61p5m_CADBasedBlade_v5_RobustFatigueClosed.FCStd</x:v>
      </x:c>
      <x:c r="C11" s="12" t="str">
        <x:v>MCP VERIFIED</x:v>
      </x:c>
      <x:c r="D11" s="12" t="str">
        <x:v>sessions/day05_phase7_fatigue/cad</x:v>
      </x:c>
    </x:row>
    <x:row r="12" ht="15" hidden="0" customHeight="1">
      <x:c r="A12" s="12" t="str">
        <x:v>Phase 7 verification</x:v>
      </x:c>
      <x:c r="B12" s="12" t="str">
        <x:v>34/34 PASS</x:v>
      </x:c>
      <x:c r="C12" s="12" t="str">
        <x:v>VERIFIED</x:v>
      </x:c>
      <x:c r="D12" s="12" t="str">
        <x:v>verify/verify_phase7.py</x:v>
      </x:c>
    </x:row>
    <x:row r="13" ht="15" hidden="0" customHeight="1">
      <x:c r="A13" s="12" t="str">
        <x:v>Whole-project verification</x:v>
      </x:c>
      <x:c r="B13" s="12" t="str">
        <x:v>127/127 PASS</x:v>
      </x:c>
      <x:c r="C13" s="12" t="str">
        <x:v>VERIFIED</x:v>
      </x:c>
      <x:c r="D13" s="12" t="str">
        <x:v>scripts/verify_all.ps1</x:v>
      </x:c>
    </x:row>
    <x:row r="14" ht="15" hidden="0" customHeight="1">
      <x:c r="A14" s="12"/>
      <x:c r="B14" s="12"/>
      <x:c r="C14" s="12"/>
      <x:c r="D14" s="12"/>
    </x:row>
    <x:row r="15" ht="15" hidden="0" customHeight="1">
      <x:c r="A15" s="212" t="str">
        <x:v>Publication file</x:v>
      </x:c>
      <x:c r="B15" s="216" t="str">
        <x:v>Local path</x:v>
      </x:c>
      <x:c r="C15" s="216" t="str">
        <x:v>Role</x:v>
      </x:c>
      <x:c r="D15" s="213" t="str">
        <x:v>External status</x:v>
      </x:c>
    </x:row>
    <x:row r="16" ht="15" hidden="0" customHeight="1">
      <x:c r="A16" s="12" t="str">
        <x:v>Fatigue code</x:v>
      </x:c>
      <x:c r="B16" s="12" t="str">
        <x:v>src/fatigue_analysis.py</x:v>
      </x:c>
      <x:c r="C16" s="12" t="str">
        <x:v>Reproducible calculation</x:v>
      </x:c>
      <x:c r="D16" s="12" t="str">
        <x:v>LOCAL — GitHub access pending</x:v>
      </x:c>
    </x:row>
    <x:row r="17" ht="15" hidden="0" customHeight="1">
      <x:c r="A17" s="12" t="str">
        <x:v>Result workbook</x:v>
      </x:c>
      <x:c r="B17" s="12" t="str">
        <x:v>results/fatigue/phase7_results.xlsx</x:v>
      </x:c>
      <x:c r="C17" s="12" t="str">
        <x:v>Consolidated evidence</x:v>
      </x:c>
      <x:c r="D17" s="12" t="str">
        <x:v>LOCAL — Drive access pending</x:v>
      </x:c>
    </x:row>
    <x:row r="18" ht="15" hidden="0" customHeight="1">
      <x:c r="A18" s="12" t="str">
        <x:v>Gate report</x:v>
      </x:c>
      <x:c r="B18" s="12" t="str">
        <x:v>results/gate_reports/gate_7.md</x:v>
      </x:c>
      <x:c r="C18" s="12" t="str">
        <x:v>Engineering decision</x:v>
      </x:c>
      <x:c r="D18" s="12" t="str">
        <x:v>LOCAL — Drive access pending</x:v>
      </x:c>
    </x:row>
    <x:row r="19" ht="15" hidden="0" customHeight="1">
      <x:c r="A19" s="12" t="str">
        <x:v>FreeCAD v5</x:v>
      </x:c>
      <x:c r="B19" s="12" t="str">
        <x:v>sessions/day05_phase7_fatigue/cad/*.FCStd</x:v>
      </x:c>
      <x:c r="C19" s="12" t="str">
        <x:v>Editable final CAD</x:v>
      </x:c>
      <x:c r="D19" s="12" t="str">
        <x:v>LOCAL — Drive access pending</x:v>
      </x:c>
    </x:row>
    <x:row r="20" ht="15" hidden="0" customHeight="1">
      <x:c r="A20" s="12"/>
      <x:c r="B20" s="12"/>
      <x:c r="C20" s="12"/>
      <x:c r="D20" s="12"/>
    </x:row>
    <x:row r="21" ht="15" hidden="0" customHeight="1">
      <x:c r="A21" s="12"/>
      <x:c r="B21" s="12"/>
      <x:c r="C21" s="12"/>
      <x:c r="D21" s="12"/>
    </x:row>
    <x:row r="22" ht="15" hidden="0" customHeight="1">
      <x:c r="A22" s="12"/>
      <x:c r="B22" s="12"/>
      <x:c r="C22" s="12"/>
      <x:c r="D22" s="12"/>
    </x:row>
    <x:row r="23" ht="15" hidden="0" customHeight="1">
      <x:c r="A23" s="12"/>
      <x:c r="B23" s="12"/>
      <x:c r="C23" s="12"/>
      <x:c r="D23" s="12"/>
    </x:row>
    <x:row r="24" ht="15" hidden="0" customHeight="1">
      <x:c r="A24" s="12"/>
      <x:c r="B24" s="12"/>
      <x:c r="C24" s="12"/>
      <x:c r="D24" s="12"/>
    </x:row>
    <x:row r="25" ht="15" hidden="0" customHeight="1">
      <x:c r="A25" s="12"/>
      <x:c r="B25" s="12"/>
      <x:c r="C25" s="12"/>
      <x:c r="D25" s="12"/>
    </x:row>
    <x:row r="26" ht="15" hidden="0" customHeight="1">
      <x:c r="A26" s="12"/>
      <x:c r="B26" s="12"/>
      <x:c r="C26" s="12"/>
      <x:c r="D26" s="12"/>
    </x:row>
    <x:row r="27" ht="15" hidden="0" customHeight="1">
      <x:c r="A27" s="12"/>
      <x:c r="B27" s="12"/>
      <x:c r="C27" s="12"/>
      <x:c r="D27" s="12"/>
    </x:row>
    <x:row r="28" ht="15" hidden="0" customHeight="1">
      <x:c r="A28" s="12"/>
      <x:c r="B28" s="12"/>
      <x:c r="C28" s="12"/>
      <x:c r="D28" s="12"/>
    </x:row>
    <x:row r="29" ht="15" hidden="0" customHeight="1">
      <x:c r="A29" s="12"/>
      <x:c r="B29" s="12"/>
      <x:c r="C29" s="12"/>
      <x:c r="D29" s="12"/>
    </x:row>
    <x:row r="30" ht="15" hidden="0" customHeight="1">
      <x:c r="A30" s="12"/>
      <x:c r="B30" s="12"/>
      <x:c r="C30" s="12"/>
      <x:c r="D30" s="12"/>
    </x:row>
    <x:row r="31" ht="15" hidden="0" customHeight="1">
      <x:c r="A31" s="12"/>
      <x:c r="B31" s="12"/>
      <x:c r="C31" s="12"/>
      <x:c r="D31" s="12"/>
    </x:row>
    <x:row r="32" ht="15" hidden="0" customHeight="1">
      <x:c r="A32" s="12"/>
      <x:c r="B32" s="12"/>
      <x:c r="C32" s="12"/>
      <x:c r="D32" s="12"/>
    </x:row>
    <x:row r="33" ht="15" hidden="0" customHeight="1">
      <x:c r="A33" s="12"/>
      <x:c r="B33" s="12"/>
      <x:c r="C33" s="12"/>
      <x:c r="D33" s="12"/>
    </x:row>
    <x:row r="34" ht="15" hidden="0" customHeight="1">
      <x:c r="A34" s="12"/>
      <x:c r="B34" s="12"/>
      <x:c r="C34" s="12"/>
      <x:c r="D34" s="12"/>
    </x:row>
    <x:row r="35" ht="15" hidden="0" customHeight="1">
      <x:c r="A35" s="12"/>
      <x:c r="B35" s="12"/>
      <x:c r="C35" s="12"/>
      <x:c r="D35" s="12"/>
    </x:row>
    <x:row r="36" ht="15" hidden="0" customHeight="1">
      <x:c r="A36" s="12"/>
      <x:c r="B36" s="12"/>
      <x:c r="C36" s="12"/>
      <x:c r="D36" s="12"/>
    </x:row>
  </x:sheetData>
  <x:mergeCells>
    <x:mergeCell ref="A12:D12"/>
    <x:mergeCell ref="A19:D19"/>
    <x:mergeCell ref="A28:D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8" max="8" width="17" hidden="0" customWidth="1"/>
  </x:cols>
  <x:sheetData>
    <x:row r="1" ht="19.200000762939453" hidden="0" customHeight="1">
      <x:c r="A1" s="215" t="str">
        <x:v>DB PROXY SENSITIVITY — FINAL V5 DESIGN</x:v>
      </x:c>
      <x:c r="B1" s="215"/>
      <x:c r="C1" s="215"/>
      <x:c r="D1" s="215"/>
      <x:c r="E1" s="215"/>
      <x:c r="F1" s="215"/>
      <x:c r="G1" s="215"/>
      <x:c r="H1" s="215"/>
      <x:c r="I1" s="215"/>
      <x:c r="J1" s="215"/>
      <x:c r="K1" s="215"/>
      <x:c r="L1" s="215"/>
      <x:c r="M1" s="215"/>
      <x:c r="N1" s="215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15" hidden="0" customHeight="1">
      <x:c r="A3" s="212" t="str">
        <x:v>C_change_percent</x:v>
      </x:c>
      <x:c r="B3" s="216" t="str">
        <x:v>C_MPa</x:v>
      </x:c>
      <x:c r="C3" s="216" t="str">
        <x:v>b</x:v>
      </x:c>
      <x:c r="D3" s="216" t="str">
        <x:v>max_D20</x:v>
      </x:c>
      <x:c r="E3" s="216" t="str">
        <x:v>status</x:v>
      </x:c>
      <x:c r="F3" s="216" t="str">
        <x:v>governing_r_m</x:v>
      </x:c>
      <x:c r="G3" s="213" t="str">
        <x:v>governing_web</x:v>
      </x:c>
      <x:c r="H3" s="12"/>
      <x:c r="I3" s="212" t="str">
        <x:v>Curve</x:v>
      </x:c>
      <x:c r="J3" s="216" t="str">
        <x:v>C (MPa)</x:v>
      </x:c>
      <x:c r="K3" s="216" t="str">
        <x:v>b</x:v>
      </x:c>
      <x:c r="L3" s="213" t="str">
        <x:v>Status / source</x:v>
      </x:c>
      <x:c r="M3" s="12"/>
      <x:c r="N3" s="12"/>
    </x:row>
    <x:row r="4" ht="26.399999618530273" hidden="0" customHeight="1">
      <x:c r="A4" s="12" t="n">
        <x:v>-20</x:v>
      </x:c>
      <x:c r="B4" s="139" t="n">
        <x:v>49.6</x:v>
      </x:c>
      <x:c r="C4" s="139" t="n">
        <x:v>8</x:v>
      </x:c>
      <x:c r="D4" s="139" t="n">
        <x:v>9.314584450148113</x:v>
      </x:c>
      <x:c r="E4" s="12" t="str">
        <x:v>FAIL</x:v>
      </x:c>
      <x:c r="F4" s="12" t="n">
        <x:v>26.65</x:v>
      </x:c>
      <x:c r="G4" s="12" t="str">
        <x:v>forward</x:v>
      </x:c>
      <x:c r="H4" s="12"/>
      <x:c r="I4" s="12" t="str">
        <x:v>Nominal design envelope</x:v>
      </x:c>
      <x:c r="J4" s="12" t="n">
        <x:v>62</x:v>
      </x:c>
      <x:c r="K4" s="12" t="n">
        <x:v>10</x:v>
      </x:c>
      <x:c r="L4" s="12" t="str">
        <x:v>Estimated conservative</x:v>
      </x:c>
      <x:c r="M4" s="12"/>
      <x:c r="N4" s="12"/>
    </x:row>
    <x:row r="5" ht="26.399999618530273" hidden="0" customHeight="1">
      <x:c r="A5" s="12" t="n">
        <x:v>-20</x:v>
      </x:c>
      <x:c r="B5" s="139" t="n">
        <x:v>49.6</x:v>
      </x:c>
      <x:c r="C5" s="139" t="n">
        <x:v>9</x:v>
      </x:c>
      <x:c r="D5" s="139" t="n">
        <x:v>2.189318364984828</x:v>
      </x:c>
      <x:c r="E5" s="12" t="str">
        <x:v>FAIL</x:v>
      </x:c>
      <x:c r="F5" s="12" t="n">
        <x:v>26.65</x:v>
      </x:c>
      <x:c r="G5" s="12" t="str">
        <x:v>forward</x:v>
      </x:c>
      <x:c r="H5" s="12"/>
      <x:c r="I5" s="12" t="str">
        <x:v>Robust design envelope</x:v>
      </x:c>
      <x:c r="J5" s="12" t="n">
        <x:v>62</x:v>
      </x:c>
      <x:c r="K5" s="12" t="n">
        <x:v>9</x:v>
      </x:c>
      <x:c r="L5" s="12" t="str">
        <x:v>Estimated from FAT-006</x:v>
      </x:c>
      <x:c r="M5" s="12"/>
      <x:c r="N5" s="12"/>
    </x:row>
    <x:row r="6" ht="26.399999618530273" hidden="0" customHeight="1">
      <x:c r="A6" s="12" t="n">
        <x:v>-20</x:v>
      </x:c>
      <x:c r="B6" s="139" t="n">
        <x:v>49.6</x:v>
      </x:c>
      <x:c r="C6" s="139" t="n">
        <x:v>10</x:v>
      </x:c>
      <x:c r="D6" s="139" t="n">
        <x:v>0.5145817216981295</x:v>
      </x:c>
      <x:c r="E6" s="12" t="str">
        <x:v>PASS</x:v>
      </x:c>
      <x:c r="F6" s="12" t="n">
        <x:v>26.65</x:v>
      </x:c>
      <x:c r="G6" s="12" t="str">
        <x:v>forward</x:v>
      </x:c>
      <x:c r="H6" s="12"/>
      <x:c r="I6" s="12" t="str">
        <x:v>Saertex VU 90079 R=-1</x:v>
      </x:c>
      <x:c r="J6" s="12" t="n">
        <x:v>78</x:v>
      </x:c>
      <x:c r="K6" s="12" t="n">
        <x:v>9.708737864077671</x:v>
      </x:c>
      <x:c r="L6" s="12" t="str">
        <x:v>Measured FAT-006</x:v>
      </x:c>
      <x:c r="M6" s="12"/>
      <x:c r="N6" s="12"/>
    </x:row>
    <x:row r="7" ht="15" hidden="0" customHeight="1">
      <x:c r="A7" s="12" t="n">
        <x:v>-20</x:v>
      </x:c>
      <x:c r="B7" s="139" t="n">
        <x:v>49.6</x:v>
      </x:c>
      <x:c r="C7" s="139" t="n">
        <x:v>11</x:v>
      </x:c>
      <x:c r="D7" s="139" t="n">
        <x:v>0.1209483063499749</x:v>
      </x:c>
      <x:c r="E7" s="12" t="str">
        <x:v>PASS</x:v>
      </x:c>
      <x:c r="F7" s="12" t="n">
        <x:v>26.65</x:v>
      </x:c>
      <x:c r="G7" s="12" t="str">
        <x:v>forward</x:v>
      </x:c>
      <x:c r="H7" s="12"/>
      <x:c r="I7" s="12" t="str">
        <x:v>H100 R=0.1</x:v>
      </x:c>
      <x:c r="J7" s="12" t="n">
        <x:v>2.34</x:v>
      </x:c>
      <x:c r="K7" s="12" t="n">
        <x:v>12.08</x:v>
      </x:c>
      <x:c r="L7" s="12" t="str">
        <x:v>Measured FAT-007</x:v>
      </x:c>
      <x:c r="M7" s="12"/>
      <x:c r="N7" s="12"/>
    </x:row>
    <x:row r="8" ht="15" hidden="0" customHeight="1">
      <x:c r="A8" s="12" t="n">
        <x:v>-20</x:v>
      </x:c>
      <x:c r="B8" s="139" t="n">
        <x:v>49.6</x:v>
      </x:c>
      <x:c r="C8" s="139" t="n">
        <x:v>12</x:v>
      </x:c>
      <x:c r="D8" s="139" t="n">
        <x:v>0.028427929310534148</x:v>
      </x:c>
      <x:c r="E8" s="12" t="str">
        <x:v>PASS</x:v>
      </x:c>
      <x:c r="F8" s="12" t="n">
        <x:v>26.65</x:v>
      </x:c>
      <x:c r="G8" s="12" t="str">
        <x:v>forward</x:v>
      </x:c>
      <x:c r="H8" s="12"/>
      <x:c r="I8" s="12"/>
      <x:c r="J8" s="12"/>
      <x:c r="K8" s="12"/>
      <x:c r="L8" s="12"/>
      <x:c r="M8" s="12"/>
      <x:c r="N8" s="12"/>
    </x:row>
    <x:row r="9" ht="15" hidden="0" customHeight="1">
      <x:c r="A9" s="12" t="n">
        <x:v>-10</x:v>
      </x:c>
      <x:c r="B9" s="139" t="n">
        <x:v>55.800000000000004</x:v>
      </x:c>
      <x:c r="C9" s="139" t="n">
        <x:v>8</x:v>
      </x:c>
      <x:c r="D9" s="139" t="n">
        <x:v>3.6303065980420697</x:v>
      </x:c>
      <x:c r="E9" s="12" t="str">
        <x:v>FAIL</x:v>
      </x:c>
      <x:c r="F9" s="12" t="n">
        <x:v>26.65</x:v>
      </x:c>
      <x:c r="G9" s="12" t="str">
        <x:v>forward</x:v>
      </x:c>
      <x:c r="H9" s="12"/>
      <x:c r="I9" s="12"/>
      <x:c r="J9" s="12"/>
      <x:c r="K9" s="12"/>
      <x:c r="L9" s="12"/>
      <x:c r="M9" s="12"/>
      <x:c r="N9" s="12"/>
    </x:row>
    <x:row r="10" ht="15" hidden="0" customHeight="1">
      <x:c r="A10" s="12" t="n">
        <x:v>-10</x:v>
      </x:c>
      <x:c r="B10" s="139" t="n">
        <x:v>55.800000000000004</x:v>
      </x:c>
      <x:c r="C10" s="139" t="n">
        <x:v>9</x:v>
      </x:c>
      <x:c r="D10" s="139" t="n">
        <x:v>0.7584661760543552</x:v>
      </x:c>
      <x:c r="E10" s="12" t="str">
        <x:v>PASS</x:v>
      </x:c>
      <x:c r="F10" s="12" t="n">
        <x:v>26.65</x:v>
      </x:c>
      <x:c r="G10" s="12" t="str">
        <x:v>forward</x:v>
      </x:c>
      <x:c r="H10" s="12"/>
      <x:c r="I10" s="12"/>
      <x:c r="J10" s="12"/>
      <x:c r="K10" s="12"/>
      <x:c r="L10" s="12"/>
      <x:c r="M10" s="12"/>
      <x:c r="N10" s="12"/>
    </x:row>
    <x:row r="11" ht="15" hidden="0" customHeight="1">
      <x:c r="A11" s="12" t="n">
        <x:v>-10</x:v>
      </x:c>
      <x:c r="B11" s="139" t="n">
        <x:v>55.800000000000004</x:v>
      </x:c>
      <x:c r="C11" s="139" t="n">
        <x:v>10</x:v>
      </x:c>
      <x:c r="D11" s="139" t="n">
        <x:v>0.15846345885187121</x:v>
      </x:c>
      <x:c r="E11" s="12" t="str">
        <x:v>PASS</x:v>
      </x:c>
      <x:c r="F11" s="12" t="n">
        <x:v>26.65</x:v>
      </x:c>
      <x:c r="G11" s="12" t="str">
        <x:v>forward</x:v>
      </x:c>
      <x:c r="H11" s="12"/>
      <x:c r="I11" s="12"/>
      <x:c r="J11" s="12"/>
      <x:c r="K11" s="12"/>
      <x:c r="L11" s="12"/>
      <x:c r="M11" s="12"/>
      <x:c r="N11" s="12"/>
    </x:row>
    <x:row r="12" ht="15" hidden="0" customHeight="1">
      <x:c r="A12" s="12" t="n">
        <x:v>-10</x:v>
      </x:c>
      <x:c r="B12" s="139" t="n">
        <x:v>55.800000000000004</x:v>
      </x:c>
      <x:c r="C12" s="139" t="n">
        <x:v>11</x:v>
      </x:c>
      <x:c r="D12" s="139" t="n">
        <x:v>0.03310716889437023</x:v>
      </x:c>
      <x:c r="E12" s="12" t="str">
        <x:v>PASS</x:v>
      </x:c>
      <x:c r="F12" s="12" t="n">
        <x:v>26.65</x:v>
      </x:c>
      <x:c r="G12" s="12" t="str">
        <x:v>forward</x:v>
      </x:c>
      <x:c r="H12" s="12"/>
      <x:c r="I12" s="12"/>
      <x:c r="J12" s="12"/>
      <x:c r="K12" s="12"/>
      <x:c r="L12" s="12"/>
      <x:c r="M12" s="12"/>
      <x:c r="N12" s="12"/>
    </x:row>
    <x:row r="13" ht="15" hidden="0" customHeight="1">
      <x:c r="A13" s="12" t="n">
        <x:v>-10</x:v>
      </x:c>
      <x:c r="B13" s="139" t="n">
        <x:v>55.800000000000004</x:v>
      </x:c>
      <x:c r="C13" s="139" t="n">
        <x:v>12</x:v>
      </x:c>
      <x:c r="D13" s="139" t="n">
        <x:v>0.006916955114711687</x:v>
      </x:c>
      <x:c r="E13" s="12" t="str">
        <x:v>PASS</x:v>
      </x:c>
      <x:c r="F13" s="12" t="n">
        <x:v>26.65</x:v>
      </x:c>
      <x:c r="G13" s="12" t="str">
        <x:v>forward</x:v>
      </x:c>
      <x:c r="H13" s="12"/>
      <x:c r="I13" s="12"/>
      <x:c r="J13" s="12"/>
      <x:c r="K13" s="12"/>
      <x:c r="L13" s="12"/>
      <x:c r="M13" s="12"/>
      <x:c r="N13" s="12"/>
    </x:row>
    <x:row r="14" ht="15" hidden="0" customHeight="1">
      <x:c r="A14" s="12" t="n">
        <x:v>0</x:v>
      </x:c>
      <x:c r="B14" s="139" t="n">
        <x:v>62</x:v>
      </x:c>
      <x:c r="C14" s="139" t="n">
        <x:v>8</x:v>
      </x:c>
      <x:c r="D14" s="139" t="n">
        <x:v>1.5627279527037625</x:v>
      </x:c>
      <x:c r="E14" s="12" t="str">
        <x:v>FAIL</x:v>
      </x:c>
      <x:c r="F14" s="12" t="n">
        <x:v>26.65</x:v>
      </x:c>
      <x:c r="G14" s="12" t="str">
        <x:v>forward</x:v>
      </x:c>
      <x:c r="H14" s="12"/>
      <x:c r="I14" s="12"/>
      <x:c r="J14" s="12"/>
      <x:c r="K14" s="12"/>
      <x:c r="L14" s="12"/>
      <x:c r="M14" s="12"/>
      <x:c r="N14" s="12"/>
    </x:row>
    <x:row r="15" ht="15" hidden="0" customHeight="1">
      <x:c r="A15" s="12" t="n">
        <x:v>0</x:v>
      </x:c>
      <x:c r="B15" s="139" t="n">
        <x:v>62</x:v>
      </x:c>
      <x:c r="C15" s="139" t="n">
        <x:v>9</x:v>
      </x:c>
      <x:c r="D15" s="139" t="n">
        <x:v>0.29384533681693864</x:v>
      </x:c>
      <x:c r="E15" s="12" t="str">
        <x:v>PASS</x:v>
      </x:c>
      <x:c r="F15" s="12" t="n">
        <x:v>26.65</x:v>
      </x:c>
      <x:c r="G15" s="12" t="str">
        <x:v>forward</x:v>
      </x:c>
      <x:c r="H15" s="12"/>
      <x:c r="I15" s="12"/>
      <x:c r="J15" s="12"/>
      <x:c r="K15" s="12"/>
      <x:c r="L15" s="12"/>
      <x:c r="M15" s="12"/>
      <x:c r="N15" s="12"/>
    </x:row>
    <x:row r="16" ht="15" hidden="0" customHeight="1">
      <x:c r="A16" s="12" t="n">
        <x:v>0</x:v>
      </x:c>
      <x:c r="B16" s="139" t="n">
        <x:v>62</x:v>
      </x:c>
      <x:c r="C16" s="139" t="n">
        <x:v>10</x:v>
      </x:c>
      <x:c r="D16" s="139" t="n">
        <x:v>0.05525279164532104</x:v>
      </x:c>
      <x:c r="E16" s="12" t="str">
        <x:v>PASS</x:v>
      </x:c>
      <x:c r="F16" s="12" t="n">
        <x:v>26.65</x:v>
      </x:c>
      <x:c r="G16" s="12" t="str">
        <x:v>forward</x:v>
      </x:c>
      <x:c r="H16" s="12"/>
      <x:c r="I16" s="12"/>
      <x:c r="J16" s="12"/>
      <x:c r="K16" s="12"/>
      <x:c r="L16" s="12"/>
      <x:c r="M16" s="12"/>
      <x:c r="N16" s="12"/>
    </x:row>
    <x:row r="17" ht="15" hidden="0" customHeight="1">
      <x:c r="A17" s="12" t="n">
        <x:v>0</x:v>
      </x:c>
      <x:c r="B17" s="139" t="n">
        <x:v>62</x:v>
      </x:c>
      <x:c r="C17" s="139" t="n">
        <x:v>11</x:v>
      </x:c>
      <x:c r="D17" s="139" t="n">
        <x:v>0.010389380405594638</x:v>
      </x:c>
      <x:c r="E17" s="12" t="str">
        <x:v>PASS</x:v>
      </x:c>
      <x:c r="F17" s="12" t="n">
        <x:v>26.65</x:v>
      </x:c>
      <x:c r="G17" s="12" t="str">
        <x:v>forward</x:v>
      </x:c>
      <x:c r="H17" s="12"/>
      <x:c r="I17" s="12"/>
      <x:c r="J17" s="12"/>
      <x:c r="K17" s="12"/>
      <x:c r="L17" s="12"/>
      <x:c r="M17" s="12"/>
      <x:c r="N17" s="12"/>
    </x:row>
    <x:row r="18" ht="15" hidden="0" customHeight="1">
      <x:c r="A18" s="12" t="n">
        <x:v>0</x:v>
      </x:c>
      <x:c r="B18" s="139" t="n">
        <x:v>62</x:v>
      </x:c>
      <x:c r="C18" s="139" t="n">
        <x:v>12</x:v>
      </x:c>
      <x:c r="D18" s="139" t="n">
        <x:v>0.001953552426907906</x:v>
      </x:c>
      <x:c r="E18" s="12" t="str">
        <x:v>PASS</x:v>
      </x:c>
      <x:c r="F18" s="12" t="n">
        <x:v>26.65</x:v>
      </x:c>
      <x:c r="G18" s="12" t="str">
        <x:v>forward</x:v>
      </x:c>
      <x:c r="H18" s="12"/>
      <x:c r="I18" s="12"/>
      <x:c r="J18" s="12"/>
      <x:c r="K18" s="12"/>
      <x:c r="L18" s="12"/>
      <x:c r="M18" s="12"/>
      <x:c r="N18" s="12"/>
    </x:row>
    <x:row r="19" ht="15" hidden="0" customHeight="1">
      <x:c r="A19" s="12" t="n">
        <x:v>10</x:v>
      </x:c>
      <x:c r="B19" s="139" t="n">
        <x:v>68.2</x:v>
      </x:c>
      <x:c r="C19" s="139" t="n">
        <x:v>8</x:v>
      </x:c>
      <x:c r="D19" s="139" t="n">
        <x:v>0.7290241231963513</x:v>
      </x:c>
      <x:c r="E19" s="12" t="str">
        <x:v>PASS</x:v>
      </x:c>
      <x:c r="F19" s="12" t="n">
        <x:v>26.65</x:v>
      </x:c>
      <x:c r="G19" s="12" t="str">
        <x:v>forward</x:v>
      </x:c>
      <x:c r="H19" s="12"/>
      <x:c r="I19" s="12"/>
      <x:c r="J19" s="12"/>
      <x:c r="K19" s="12"/>
      <x:c r="L19" s="12"/>
      <x:c r="M19" s="12"/>
      <x:c r="N19" s="12"/>
    </x:row>
    <x:row r="20" ht="15" hidden="0" customHeight="1">
      <x:c r="A20" s="12" t="n">
        <x:v>10</x:v>
      </x:c>
      <x:c r="B20" s="139" t="n">
        <x:v>68.2</x:v>
      </x:c>
      <x:c r="C20" s="139" t="n">
        <x:v>9</x:v>
      </x:c>
      <x:c r="D20" s="139" t="n">
        <x:v>0.12461910751392412</x:v>
      </x:c>
      <x:c r="E20" s="12" t="str">
        <x:v>PASS</x:v>
      </x:c>
      <x:c r="F20" s="12" t="n">
        <x:v>26.65</x:v>
      </x:c>
      <x:c r="G20" s="12" t="str">
        <x:v>forward</x:v>
      </x:c>
      <x:c r="H20" s="12"/>
      <x:c r="I20" s="12"/>
      <x:c r="J20" s="12"/>
      <x:c r="K20" s="12"/>
      <x:c r="L20" s="12"/>
      <x:c r="M20" s="12"/>
      <x:c r="N20" s="12"/>
    </x:row>
    <x:row r="21" ht="15" hidden="0" customHeight="1">
      <x:c r="A21" s="12" t="n">
        <x:v>10</x:v>
      </x:c>
      <x:c r="B21" s="139" t="n">
        <x:v>68.2</x:v>
      </x:c>
      <x:c r="C21" s="139" t="n">
        <x:v>10</x:v>
      </x:c>
      <x:c r="D21" s="139" t="n">
        <x:v>0.021302343041101585</x:v>
      </x:c>
      <x:c r="E21" s="12" t="str">
        <x:v>PASS</x:v>
      </x:c>
      <x:c r="F21" s="12" t="n">
        <x:v>26.65</x:v>
      </x:c>
      <x:c r="G21" s="12" t="str">
        <x:v>forward</x:v>
      </x:c>
      <x:c r="H21" s="12"/>
      <x:c r="I21" s="12"/>
      <x:c r="J21" s="12"/>
      <x:c r="K21" s="12"/>
      <x:c r="L21" s="12"/>
      <x:c r="M21" s="12"/>
      <x:c r="N21" s="12"/>
    </x:row>
    <x:row r="22" ht="15" hidden="0" customHeight="1">
      <x:c r="A22" s="12" t="n">
        <x:v>10</x:v>
      </x:c>
      <x:c r="B22" s="139" t="n">
        <x:v>68.2</x:v>
      </x:c>
      <x:c r="C22" s="139" t="n">
        <x:v>11</x:v>
      </x:c>
      <x:c r="D22" s="139" t="n">
        <x:v>0.0036414144515524286</x:v>
      </x:c>
      <x:c r="E22" s="12" t="str">
        <x:v>PASS</x:v>
      </x:c>
      <x:c r="F22" s="12" t="n">
        <x:v>26.65</x:v>
      </x:c>
      <x:c r="G22" s="12" t="str">
        <x:v>forward</x:v>
      </x:c>
      <x:c r="H22" s="12"/>
      <x:c r="I22" s="12"/>
      <x:c r="J22" s="12"/>
      <x:c r="K22" s="12"/>
      <x:c r="L22" s="12"/>
      <x:c r="M22" s="12"/>
      <x:c r="N22" s="12"/>
    </x:row>
    <x:row r="23" ht="15" hidden="0" customHeight="1">
      <x:c r="A23" s="12" t="n">
        <x:v>10</x:v>
      </x:c>
      <x:c r="B23" s="139" t="n">
        <x:v>68.2</x:v>
      </x:c>
      <x:c r="C23" s="139" t="n">
        <x:v>12</x:v>
      </x:c>
      <x:c r="D23" s="139" t="n">
        <x:v>0.0006224620072257168</x:v>
      </x:c>
      <x:c r="E23" s="12" t="str">
        <x:v>PASS</x:v>
      </x:c>
      <x:c r="F23" s="12" t="n">
        <x:v>26.65</x:v>
      </x:c>
      <x:c r="G23" s="12" t="str">
        <x:v>forward</x:v>
      </x:c>
      <x:c r="H23" s="12"/>
      <x:c r="I23" s="12"/>
      <x:c r="J23" s="12"/>
      <x:c r="K23" s="12"/>
      <x:c r="L23" s="12"/>
      <x:c r="M23" s="12"/>
      <x:c r="N23" s="12"/>
    </x:row>
    <x:row r="24" ht="15" hidden="0" customHeight="1">
      <x:c r="A24" s="12" t="n">
        <x:v>20</x:v>
      </x:c>
      <x:c r="B24" s="139" t="n">
        <x:v>74.39999999999999</x:v>
      </x:c>
      <x:c r="C24" s="139" t="n">
        <x:v>8</x:v>
      </x:c>
      <x:c r="D24" s="139" t="n">
        <x:v>0.36344057601553426</x:v>
      </x:c>
      <x:c r="E24" s="12" t="str">
        <x:v>PASS</x:v>
      </x:c>
      <x:c r="F24" s="12" t="n">
        <x:v>26.65</x:v>
      </x:c>
      <x:c r="G24" s="12" t="str">
        <x:v>forward</x:v>
      </x:c>
      <x:c r="H24" s="12"/>
      <x:c r="I24" s="12"/>
      <x:c r="J24" s="12"/>
      <x:c r="K24" s="12"/>
      <x:c r="L24" s="12"/>
      <x:c r="M24" s="12"/>
      <x:c r="N24" s="12"/>
    </x:row>
    <x:row r="25" ht="15" hidden="0" customHeight="1">
      <x:c r="A25" s="12" t="n">
        <x:v>20</x:v>
      </x:c>
      <x:c r="B25" s="139" t="n">
        <x:v>74.39999999999999</x:v>
      </x:c>
      <x:c r="C25" s="139" t="n">
        <x:v>9</x:v>
      </x:c>
      <x:c r="D25" s="139" t="n">
        <x:v>0.0569491948824993</x:v>
      </x:c>
      <x:c r="E25" s="12" t="str">
        <x:v>PASS</x:v>
      </x:c>
      <x:c r="F25" s="12" t="n">
        <x:v>26.65</x:v>
      </x:c>
      <x:c r="G25" s="12" t="str">
        <x:v>forward</x:v>
      </x:c>
      <x:c r="H25" s="12"/>
      <x:c r="I25" s="12"/>
      <x:c r="J25" s="12"/>
      <x:c r="K25" s="12"/>
      <x:c r="L25" s="12"/>
      <x:c r="M25" s="12"/>
      <x:c r="N25" s="12"/>
    </x:row>
    <x:row r="26" ht="15" hidden="0" customHeight="1">
      <x:c r="A26" s="12" t="n">
        <x:v>20</x:v>
      </x:c>
      <x:c r="B26" s="139" t="n">
        <x:v>74.39999999999999</x:v>
      </x:c>
      <x:c r="C26" s="139" t="n">
        <x:v>10</x:v>
      </x:c>
      <x:c r="D26" s="139" t="n">
        <x:v>0.00892363432096878</x:v>
      </x:c>
      <x:c r="E26" s="12" t="str">
        <x:v>PASS</x:v>
      </x:c>
      <x:c r="F26" s="12" t="n">
        <x:v>26.65</x:v>
      </x:c>
      <x:c r="G26" s="12" t="str">
        <x:v>forward</x:v>
      </x:c>
      <x:c r="H26" s="12"/>
      <x:c r="I26" s="12"/>
      <x:c r="J26" s="12"/>
      <x:c r="K26" s="12"/>
      <x:c r="L26" s="12"/>
      <x:c r="M26" s="12"/>
      <x:c r="N26" s="12"/>
    </x:row>
    <x:row r="27" ht="15" hidden="0" customHeight="1">
      <x:c r="A27" s="12" t="n">
        <x:v>20</x:v>
      </x:c>
      <x:c r="B27" s="139" t="n">
        <x:v>74.39999999999999</x:v>
      </x:c>
      <x:c r="C27" s="139" t="n">
        <x:v>11</x:v>
      </x:c>
      <x:c r="D27" s="139" t="n">
        <x:v>0.0013982857818915877</x:v>
      </x:c>
      <x:c r="E27" s="12" t="str">
        <x:v>PASS</x:v>
      </x:c>
      <x:c r="F27" s="12" t="n">
        <x:v>26.65</x:v>
      </x:c>
      <x:c r="G27" s="12" t="str">
        <x:v>forward</x:v>
      </x:c>
      <x:c r="H27" s="12"/>
      <x:c r="I27" s="12"/>
      <x:c r="J27" s="12"/>
      <x:c r="K27" s="12"/>
      <x:c r="L27" s="12"/>
      <x:c r="M27" s="12"/>
      <x:c r="N27" s="12"/>
    </x:row>
    <x:row r="28" ht="15" hidden="0" customHeight="1">
      <x:c r="A28" s="12" t="n">
        <x:v>20</x:v>
      </x:c>
      <x:c r="B28" s="139" t="n">
        <x:v>74.39999999999999</x:v>
      </x:c>
      <x:c r="C28" s="139" t="n">
        <x:v>12</x:v>
      </x:c>
      <x:c r="D28" s="139" t="n">
        <x:v>0.00021910390514835723</x:v>
      </x:c>
      <x:c r="E28" s="12" t="str">
        <x:v>PASS</x:v>
      </x:c>
      <x:c r="F28" s="12" t="n">
        <x:v>26.65</x:v>
      </x:c>
      <x:c r="G28" s="12" t="str">
        <x:v>forward</x:v>
      </x:c>
      <x:c r="H28" s="12"/>
      <x:c r="I28" s="12"/>
      <x:c r="J28" s="12"/>
      <x:c r="K28" s="12"/>
      <x:c r="L28" s="12"/>
      <x:c r="M28" s="12"/>
      <x:c r="N28" s="12"/>
    </x:row>
    <x:row r="29" ht="15" hidden="0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</x:row>
    <x:row r="30" ht="15" hidden="0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</x:row>
    <x:row r="31" ht="15" hidden="0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</x:row>
    <x:row r="32" ht="15" hidden="0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</x:row>
    <x:row r="33" ht="15" hidden="0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</x:row>
    <x:row r="34" ht="15" hidden="0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</x:row>
    <x:row r="35" ht="15" hidden="0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</x:row>
    <x:row r="36" ht="15" hidden="0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</x:row>
    <x:row r="37" ht="15" hidden="0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</x:row>
  </x:sheetData>
  <x:mergeCells>
    <x:mergeCell ref="A1:H1"/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8" max="8" width="20" hidden="0" customWidth="1"/>
    <x:col min="9" max="9" width="20" hidden="0" customWidth="1"/>
    <x:col min="10" max="10" width="20" hidden="0" customWidth="1"/>
    <x:col min="7" max="7" width="20" hidden="0" customWidth="1"/>
  </x:cols>
  <x:sheetData>
    <x:row r="1" ht="19.200000762939453" hidden="0" customHeight="1">
      <x:c r="A1" s="215" t="str">
        <x:v>A66h LOAD-SPLIT SENSITIVITY — FINAL V5 DESIGN</x:v>
      </x:c>
      <x:c r="B1" s="215"/>
      <x:c r="C1" s="215"/>
      <x:c r="D1" s="215"/>
      <x:c r="E1" s="215"/>
      <x:c r="F1" s="215"/>
      <x:c r="G1" s="215"/>
      <x:c r="H1" s="215"/>
      <x:c r="I1" s="215"/>
      <x:c r="J1" s="215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6.399999618530273" hidden="0" customHeight="1">
      <x:c r="A3" s="212" t="str">
        <x:v>forward_split_error_percent</x:v>
      </x:c>
      <x:c r="B3" s="216" t="str">
        <x:v>governing_r_m</x:v>
      </x:c>
      <x:c r="C3" s="216" t="str">
        <x:v>governing_web</x:v>
      </x:c>
      <x:c r="D3" s="216" t="str">
        <x:v>governing_load_fraction</x:v>
      </x:c>
      <x:c r="E3" s="216" t="str">
        <x:v>max_D20</x:v>
      </x:c>
      <x:c r="F3" s="213" t="str">
        <x:v>status</x:v>
      </x:c>
      <x:c r="G3" s="12"/>
      <x:c r="H3" s="212" t="str">
        <x:v>Forward error</x:v>
      </x:c>
      <x:c r="I3" s="216" t="str">
        <x:v>Max D20</x:v>
      </x:c>
      <x:c r="J3" s="213" t="str">
        <x:v>Target</x:v>
      </x:c>
    </x:row>
    <x:row r="4" ht="15" hidden="0" customHeight="1">
      <x:c r="A4" s="12" t="n">
        <x:v>-10</x:v>
      </x:c>
      <x:c r="B4" s="12" t="n">
        <x:v>26.65</x:v>
      </x:c>
      <x:c r="C4" s="12" t="str">
        <x:v>aft</x:v>
      </x:c>
      <x:c r="D4" s="12" t="n">
        <x:v>0.5616981021438907</x:v>
      </x:c>
      <x:c r="E4" s="12" t="n">
        <x:v>0.13684470304494784</x:v>
      </x:c>
      <x:c r="F4" s="12" t="str">
        <x:v>PASS</x:v>
      </x:c>
      <x:c r="G4" s="12"/>
      <x:c r="H4" s="12" t="n">
        <x:v>-10</x:v>
      </x:c>
      <x:c r="I4" s="12" t="n">
        <x:v>0.13684470304494784</x:v>
      </x:c>
      <x:c r="J4" s="12" t="n">
        <x:v>0.7</x:v>
      </x:c>
    </x:row>
    <x:row r="5" ht="15" hidden="0" customHeight="1">
      <x:c r="A5" s="12" t="n">
        <x:v>0</x:v>
      </x:c>
      <x:c r="B5" s="12" t="n">
        <x:v>26.65</x:v>
      </x:c>
      <x:c r="C5" s="12" t="str">
        <x:v>forward</x:v>
      </x:c>
      <x:c r="D5" s="12" t="n">
        <x:v>0.48700210872901034</x:v>
      </x:c>
      <x:c r="E5" s="12" t="n">
        <x:v>0.05525279164532104</x:v>
      </x:c>
      <x:c r="F5" s="12" t="str">
        <x:v>PASS</x:v>
      </x:c>
      <x:c r="G5" s="12"/>
      <x:c r="H5" s="12" t="n">
        <x:v>0</x:v>
      </x:c>
      <x:c r="I5" s="12" t="n">
        <x:v>0.05525279164532104</x:v>
      </x:c>
      <x:c r="J5" s="12" t="n">
        <x:v>0.7</x:v>
      </x:c>
    </x:row>
    <x:row r="6" ht="15" hidden="0" customHeight="1">
      <x:c r="A6" s="12" t="n">
        <x:v>10</x:v>
      </x:c>
      <x:c r="B6" s="12" t="n">
        <x:v>26.65</x:v>
      </x:c>
      <x:c r="C6" s="12" t="str">
        <x:v>forward</x:v>
      </x:c>
      <x:c r="D6" s="12" t="n">
        <x:v>0.5357023196019114</x:v>
      </x:c>
      <x:c r="E6" s="12" t="n">
        <x:v>0.14331151172952766</x:v>
      </x:c>
      <x:c r="F6" s="12" t="str">
        <x:v>PASS</x:v>
      </x:c>
      <x:c r="G6" s="12"/>
      <x:c r="H6" s="12" t="n">
        <x:v>10</x:v>
      </x:c>
      <x:c r="I6" s="12" t="n">
        <x:v>0.14331151172952766</x:v>
      </x:c>
      <x:c r="J6" s="12" t="n">
        <x:v>0.7</x:v>
      </x:c>
    </x:row>
  </x:sheetData>
  <x:mergeCells>
    <x:mergeCell ref="A1:F1"/>
    <x:mergeCell ref="A1:J1"/>
  </x:mergeCells>
  <x:pageMargins left="0.7" right="0.7" top="0.75" bottom="0.75" header="0.3" footer="0.3"/>
  <x:drawing xmlns:r="http://schemas.openxmlformats.org/officeDocument/2006/relationships" r:id="R8e1f83d5b62c4816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9.200000762939453" hidden="0" customHeight="1">
      <x:c r="A1" s="215" t="str">
        <x:v>H100 CORE FATIGUE — SOURCED NASA CURVE</x:v>
      </x:c>
      <x:c r="B1" s="215"/>
      <x:c r="C1" s="215"/>
      <x:c r="D1" s="215"/>
      <x:c r="E1" s="215"/>
      <x:c r="F1" s="215"/>
      <x:c r="G1" s="215"/>
      <x:c r="H1" s="215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</x:row>
    <x:row r="3" ht="15" hidden="0" customHeight="1">
      <x:c r="A3" s="212" t="str">
        <x:v>Item</x:v>
      </x:c>
      <x:c r="B3" s="216" t="str">
        <x:v>Value</x:v>
      </x:c>
      <x:c r="C3" s="216" t="str">
        <x:v>Status</x:v>
      </x:c>
      <x:c r="D3" s="213" t="str">
        <x:v>Source</x:v>
      </x:c>
      <x:c r="E3" s="12"/>
      <x:c r="F3" s="12"/>
      <x:c r="G3" s="12"/>
      <x:c r="H3" s="12"/>
    </x:row>
    <x:row r="4" ht="15" hidden="0" customHeight="1">
      <x:c r="A4" s="12" t="str">
        <x:v>Curve form</x:v>
      </x:c>
      <x:c r="B4" s="12" t="str">
        <x:v>tau_max = 2.34 N^(-1/12.08) MPa</x:v>
      </x:c>
      <x:c r="C4" s="12" t="str">
        <x:v>MEASURED</x:v>
      </x:c>
      <x:c r="D4" s="12" t="str">
        <x:v>NASA/TM-2012-217694 Sec. 4 / Fig. 6</x:v>
      </x:c>
      <x:c r="E4" s="12"/>
      <x:c r="F4" s="12"/>
      <x:c r="G4" s="12"/>
      <x:c r="H4" s="12"/>
    </x:row>
    <x:row r="5" ht="15" hidden="0" customHeight="1">
      <x:c r="A5" s="12" t="str">
        <x:v>C (MPa)</x:v>
      </x:c>
      <x:c r="B5" s="165" t="n">
        <x:v>2.34</x:v>
      </x:c>
      <x:c r="C5" s="12" t="str">
        <x:v>MEASURED</x:v>
      </x:c>
      <x:c r="D5" s="12" t="str">
        <x:v>NASA Figure 6</x:v>
      </x:c>
      <x:c r="E5" s="12"/>
      <x:c r="F5" s="12"/>
      <x:c r="G5" s="12"/>
      <x:c r="H5" s="12"/>
    </x:row>
    <x:row r="6" ht="15" hidden="0" customHeight="1">
      <x:c r="A6" s="12" t="str">
        <x:v>b</x:v>
      </x:c>
      <x:c r="B6" s="165" t="n">
        <x:v>12.08</x:v>
      </x:c>
      <x:c r="C6" s="12" t="str">
        <x:v>MEASURED</x:v>
      </x:c>
      <x:c r="D6" s="12" t="str">
        <x:v>NASA Figure 6</x:v>
      </x:c>
      <x:c r="E6" s="12"/>
      <x:c r="F6" s="12"/>
      <x:c r="G6" s="12"/>
      <x:c r="H6" s="12"/>
    </x:row>
    <x:row r="7" ht="15" hidden="0" customHeight="1">
      <x:c r="A7" s="12" t="str">
        <x:v>Test R</x:v>
      </x:c>
      <x:c r="B7" s="165" t="n">
        <x:v>0.1</x:v>
      </x:c>
      <x:c r="C7" s="12" t="str">
        <x:v>MEASURED</x:v>
      </x:c>
      <x:c r="D7" s="12" t="str">
        <x:v>NASA Figure 6</x:v>
      </x:c>
      <x:c r="E7" s="12"/>
      <x:c r="F7" s="12"/>
      <x:c r="G7" s="12"/>
      <x:c r="H7" s="12"/>
    </x:row>
    <x:row r="8" ht="15" hidden="0" customHeight="1">
      <x:c r="A8" s="12" t="str">
        <x:v>Project fatigue factor</x:v>
      </x:c>
      <x:c r="B8" s="165" t="n">
        <x:v>1.38</x:v>
      </x:c>
      <x:c r="C8" s="12" t="str">
        <x:v>CONSERVATIVE</x:v>
      </x:c>
      <x:c r="D8" s="12" t="str">
        <x:v>Retained project basis</x:v>
      </x:c>
      <x:c r="E8" s="12"/>
      <x:c r="F8" s="12"/>
      <x:c r="G8" s="12"/>
      <x:c r="H8" s="12"/>
    </x:row>
    <x:row r="9" ht="15" hidden="0" customHeight="1">
      <x:c r="A9" s="12" t="str">
        <x:v>Robust max D20</x:v>
      </x:c>
      <x:c r="B9" s="165" t="n">
        <x:v>8.971869107947785e-19</x:v>
      </x:c>
      <x:c r="C9" s="12" t="str">
        <x:v>PASS</x:v>
      </x:c>
      <x:c r="D9" s="12" t="str">
        <x:v>robust_design_station_results.csv</x:v>
      </x:c>
      <x:c r="E9" s="12"/>
      <x:c r="F9" s="12"/>
      <x:c r="G9" s="12"/>
      <x:c r="H9" s="12"/>
    </x:row>
    <x:row r="10" ht="15" hidden="0" customHeight="1">
      <x:c r="A10" s="12"/>
      <x:c r="B10" s="12"/>
      <x:c r="C10" s="12"/>
      <x:c r="D10" s="12"/>
      <x:c r="E10" s="12"/>
      <x:c r="F10" s="12"/>
      <x:c r="G10" s="12"/>
      <x:c r="H10" s="12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</x:row>
    <x:row r="13" ht="15" hidden="0" customHeight="1">
      <x:c r="A13" s="12"/>
      <x:c r="B13" s="12"/>
      <x:c r="C13" s="12"/>
      <x:c r="D13" s="12"/>
      <x:c r="E13" s="12"/>
      <x:c r="F13" s="12"/>
      <x:c r="G13" s="12"/>
      <x:c r="H13" s="12"/>
    </x:row>
    <x:row r="14" ht="15" hidden="0" customHeight="1">
      <x:c r="A14" s="12"/>
      <x:c r="B14" s="12"/>
      <x:c r="C14" s="12"/>
      <x:c r="D14" s="12"/>
      <x:c r="E14" s="12"/>
      <x:c r="F14" s="12"/>
      <x:c r="G14" s="12"/>
      <x:c r="H14" s="12"/>
    </x:row>
    <x:row r="15" ht="15" hidden="0" customHeight="1">
      <x:c r="A15" s="12"/>
      <x:c r="B15" s="12"/>
      <x:c r="C15" s="12"/>
      <x:c r="D15" s="12"/>
      <x:c r="E15" s="12"/>
      <x:c r="F15" s="12"/>
      <x:c r="G15" s="12"/>
      <x:c r="H15" s="12"/>
    </x:row>
    <x:row r="16" ht="15" hidden="0" customHeight="1">
      <x:c r="A16" s="12"/>
      <x:c r="B16" s="12"/>
      <x:c r="C16" s="12"/>
      <x:c r="D16" s="12"/>
      <x:c r="E16" s="12"/>
      <x:c r="F16" s="12"/>
      <x:c r="G16" s="12"/>
      <x:c r="H16" s="12"/>
    </x:row>
    <x:row r="17" ht="15" hidden="0" customHeight="1">
      <x:c r="A17" s="12"/>
      <x:c r="B17" s="12"/>
      <x:c r="C17" s="12"/>
      <x:c r="D17" s="12"/>
      <x:c r="E17" s="12"/>
      <x:c r="F17" s="12"/>
      <x:c r="G17" s="12"/>
      <x:c r="H17" s="12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</x:row>
    <x:row r="19" ht="15" hidden="0" customHeight="1">
      <x:c r="A19" s="12"/>
      <x:c r="B19" s="12"/>
      <x:c r="C19" s="12"/>
      <x:c r="D19" s="12"/>
      <x:c r="E19" s="12"/>
      <x:c r="F19" s="12"/>
      <x:c r="G19" s="12"/>
      <x:c r="H19" s="12"/>
    </x:row>
    <x:row r="20" ht="15" hidden="0" customHeight="1">
      <x:c r="A20" s="12"/>
      <x:c r="B20" s="12"/>
      <x:c r="C20" s="12"/>
      <x:c r="D20" s="12"/>
      <x:c r="E20" s="12"/>
      <x:c r="F20" s="12"/>
      <x:c r="G20" s="12"/>
      <x:c r="H20" s="12"/>
    </x:row>
    <x:row r="21" ht="15" hidden="0" customHeight="1">
      <x:c r="A21" s="12"/>
      <x:c r="B21" s="12"/>
      <x:c r="C21" s="12"/>
      <x:c r="D21" s="12"/>
      <x:c r="E21" s="12"/>
      <x:c r="F21" s="12"/>
      <x:c r="G21" s="12"/>
      <x:c r="H21" s="12"/>
    </x:row>
    <x:row r="22" ht="15" hidden="0" customHeight="1">
      <x:c r="A22" s="12"/>
      <x:c r="B22" s="12"/>
      <x:c r="C22" s="12"/>
      <x:c r="D22" s="12"/>
      <x:c r="E22" s="12"/>
      <x:c r="F22" s="12"/>
      <x:c r="G22" s="12"/>
      <x:c r="H22" s="12"/>
    </x:row>
    <x:row r="23" ht="15" hidden="0" customHeight="1">
      <x:c r="A23" s="12"/>
      <x:c r="B23" s="12"/>
      <x:c r="C23" s="12"/>
      <x:c r="D23" s="12"/>
      <x:c r="E23" s="12"/>
      <x:c r="F23" s="12"/>
      <x:c r="G23" s="12"/>
      <x:c r="H23" s="12"/>
    </x:row>
    <x:row r="24" ht="15" hidden="0" customHeight="1">
      <x:c r="A24" s="12"/>
      <x:c r="B24" s="12"/>
      <x:c r="C24" s="12"/>
      <x:c r="D24" s="12"/>
      <x:c r="E24" s="12"/>
      <x:c r="F24" s="12"/>
      <x:c r="G24" s="12"/>
      <x:c r="H24" s="12"/>
    </x:row>
    <x:row r="25" ht="15" hidden="0" customHeight="1">
      <x:c r="A25" s="12"/>
      <x:c r="B25" s="12"/>
      <x:c r="C25" s="12"/>
      <x:c r="D25" s="12"/>
      <x:c r="E25" s="12"/>
      <x:c r="F25" s="12"/>
      <x:c r="G25" s="12"/>
      <x:c r="H25" s="12"/>
    </x:row>
    <x:row r="26" ht="15" hidden="0" customHeight="1">
      <x:c r="A26" s="12"/>
      <x:c r="B26" s="12"/>
      <x:c r="C26" s="12"/>
      <x:c r="D26" s="12"/>
      <x:c r="E26" s="12"/>
      <x:c r="F26" s="12"/>
      <x:c r="G26" s="12"/>
      <x:c r="H26" s="12"/>
    </x:row>
    <x:row r="27" ht="15" hidden="0" customHeight="1">
      <x:c r="A27" s="12"/>
      <x:c r="B27" s="12"/>
      <x:c r="C27" s="12"/>
      <x:c r="D27" s="12"/>
      <x:c r="E27" s="12"/>
      <x:c r="F27" s="12"/>
      <x:c r="G27" s="12"/>
      <x:c r="H27" s="12"/>
    </x:row>
    <x:row r="28" ht="15" hidden="0" customHeight="1">
      <x:c r="A28" s="12"/>
      <x:c r="B28" s="12"/>
      <x:c r="C28" s="12"/>
      <x:c r="D28" s="12"/>
      <x:c r="E28" s="12"/>
      <x:c r="F28" s="12"/>
      <x:c r="G28" s="12"/>
      <x:c r="H28" s="12"/>
    </x:row>
    <x:row r="29" ht="15" hidden="0" customHeight="1">
      <x:c r="A29" s="12"/>
      <x:c r="B29" s="12"/>
      <x:c r="C29" s="12"/>
      <x:c r="D29" s="12"/>
      <x:c r="E29" s="12"/>
      <x:c r="F29" s="12"/>
      <x:c r="G29" s="12"/>
      <x:c r="H29" s="12"/>
    </x:row>
    <x:row r="30" ht="15" hidden="0" customHeight="1">
      <x:c r="A30" s="12"/>
      <x:c r="B30" s="12"/>
      <x:c r="C30" s="12"/>
      <x:c r="D30" s="12"/>
      <x:c r="E30" s="12"/>
      <x:c r="F30" s="12"/>
      <x:c r="G30" s="12"/>
      <x:c r="H30" s="12"/>
    </x:row>
    <x:row r="31" ht="15" hidden="0" customHeight="1">
      <x:c r="A31" s="12"/>
      <x:c r="B31" s="12"/>
      <x:c r="C31" s="12"/>
      <x:c r="D31" s="12"/>
      <x:c r="E31" s="12"/>
      <x:c r="F31" s="12"/>
      <x:c r="G31" s="12"/>
      <x:c r="H31" s="12"/>
    </x:row>
    <x:row r="32" ht="15" hidden="0" customHeight="1">
      <x:c r="A32" s="12"/>
      <x:c r="B32" s="12"/>
      <x:c r="C32" s="12"/>
      <x:c r="D32" s="12"/>
      <x:c r="E32" s="12"/>
      <x:c r="F32" s="12"/>
      <x:c r="G32" s="12"/>
      <x:c r="H32" s="12"/>
    </x:row>
    <x:row r="33" ht="15" hidden="0" customHeight="1">
      <x:c r="A33" s="12"/>
      <x:c r="B33" s="12"/>
      <x:c r="C33" s="12"/>
      <x:c r="D33" s="12"/>
      <x:c r="E33" s="12"/>
      <x:c r="F33" s="12"/>
      <x:c r="G33" s="12"/>
      <x:c r="H33" s="12"/>
    </x:row>
    <x:row r="34" ht="15" hidden="0" customHeight="1">
      <x:c r="A34" s="12"/>
      <x:c r="B34" s="12"/>
      <x:c r="C34" s="12"/>
      <x:c r="D34" s="12"/>
      <x:c r="E34" s="12"/>
      <x:c r="F34" s="12"/>
      <x:c r="G34" s="12"/>
      <x:c r="H34" s="12"/>
    </x:row>
    <x:row r="35" ht="15" hidden="0" customHeight="1">
      <x:c r="A35" s="12"/>
      <x:c r="B35" s="12"/>
      <x:c r="C35" s="12"/>
      <x:c r="D35" s="12"/>
      <x:c r="E35" s="12"/>
      <x:c r="F35" s="12"/>
      <x:c r="G35" s="12"/>
      <x:c r="H35" s="12"/>
    </x:row>
    <x:row r="36" ht="15" hidden="0" customHeight="1">
      <x:c r="A36" s="12"/>
      <x:c r="B36" s="12"/>
      <x:c r="C36" s="12"/>
      <x:c r="D36" s="12"/>
      <x:c r="E36" s="12"/>
      <x:c r="F36" s="12"/>
      <x:c r="G36" s="12"/>
      <x:c r="H36" s="12"/>
    </x:row>
    <x:row r="37" ht="15" hidden="0" customHeight="1">
      <x:c r="A37" s="12"/>
      <x:c r="B37" s="12"/>
      <x:c r="C37" s="12"/>
      <x:c r="D37" s="12"/>
      <x:c r="E37" s="12"/>
      <x:c r="F37" s="12"/>
      <x:c r="G37" s="12"/>
      <x:c r="H37" s="12"/>
    </x:row>
    <x:row r="38" ht="15" hidden="0" customHeight="1">
      <x:c r="A38" s="12"/>
      <x:c r="B38" s="12"/>
      <x:c r="C38" s="12"/>
      <x:c r="D38" s="12"/>
      <x:c r="E38" s="12"/>
      <x:c r="F38" s="12"/>
      <x:c r="G38" s="12"/>
      <x:c r="H38" s="12"/>
    </x:row>
    <x:row r="39" ht="15" hidden="0" customHeight="1">
      <x:c r="A39" s="12"/>
      <x:c r="B39" s="12"/>
      <x:c r="C39" s="12"/>
      <x:c r="D39" s="12"/>
      <x:c r="E39" s="12"/>
      <x:c r="F39" s="12"/>
      <x:c r="G39" s="12"/>
      <x:c r="H39" s="12"/>
    </x:row>
    <x:row r="40" ht="15" hidden="0" customHeight="1">
      <x:c r="A40" s="12"/>
      <x:c r="B40" s="12"/>
      <x:c r="C40" s="12"/>
      <x:c r="D40" s="12"/>
      <x:c r="E40" s="12"/>
      <x:c r="F40" s="12"/>
      <x:c r="G40" s="12"/>
      <x:c r="H40" s="12"/>
    </x:row>
    <x:row r="41" ht="15" hidden="0" customHeight="1">
      <x:c r="A41" s="12"/>
      <x:c r="B41" s="12"/>
      <x:c r="C41" s="12"/>
      <x:c r="D41" s="12"/>
      <x:c r="E41" s="12"/>
      <x:c r="F41" s="12"/>
      <x:c r="G41" s="12"/>
      <x:c r="H41" s="12"/>
    </x:row>
    <x:row r="42" ht="15" hidden="0" customHeight="1">
      <x:c r="A42" s="12"/>
      <x:c r="B42" s="12"/>
      <x:c r="C42" s="12"/>
      <x:c r="D42" s="12"/>
      <x:c r="E42" s="12"/>
      <x:c r="F42" s="12"/>
      <x:c r="G42" s="12"/>
      <x:c r="H42" s="12"/>
    </x:row>
    <x:row r="43" ht="15" hidden="0" customHeight="1">
      <x:c r="A43" s="12"/>
      <x:c r="B43" s="12"/>
      <x:c r="C43" s="12"/>
      <x:c r="D43" s="12"/>
      <x:c r="E43" s="12"/>
      <x:c r="F43" s="12"/>
      <x:c r="G43" s="12"/>
      <x:c r="H43" s="12"/>
    </x:row>
    <x:row r="44" ht="15" hidden="0" customHeight="1">
      <x:c r="A44" s="12"/>
      <x:c r="B44" s="12"/>
      <x:c r="C44" s="12"/>
      <x:c r="D44" s="12"/>
      <x:c r="E44" s="12"/>
      <x:c r="F44" s="12"/>
      <x:c r="G44" s="12"/>
      <x:c r="H44" s="12"/>
    </x:row>
    <x:row r="45" ht="15" hidden="0" customHeight="1">
      <x:c r="A45" s="12"/>
      <x:c r="B45" s="12"/>
      <x:c r="C45" s="12"/>
      <x:c r="D45" s="12"/>
      <x:c r="E45" s="12"/>
      <x:c r="F45" s="12"/>
      <x:c r="G45" s="12"/>
      <x:c r="H45" s="12"/>
    </x:row>
    <x:row r="46" ht="15" hidden="0" customHeight="1">
      <x:c r="A46" s="12"/>
      <x:c r="B46" s="12"/>
      <x:c r="C46" s="12"/>
      <x:c r="D46" s="12"/>
      <x:c r="E46" s="12"/>
      <x:c r="F46" s="12"/>
      <x:c r="G46" s="12"/>
      <x:c r="H46" s="12"/>
    </x:row>
    <x:row r="47" ht="15" hidden="0" customHeight="1">
      <x:c r="A47" s="12"/>
      <x:c r="B47" s="12"/>
      <x:c r="C47" s="12"/>
      <x:c r="D47" s="12"/>
      <x:c r="E47" s="12"/>
      <x:c r="F47" s="12"/>
      <x:c r="G47" s="12"/>
      <x:c r="H47" s="12"/>
    </x:row>
    <x:row r="48" ht="15" hidden="0" customHeight="1">
      <x:c r="A48" s="12"/>
      <x:c r="B48" s="12"/>
      <x:c r="C48" s="12"/>
      <x:c r="D48" s="12"/>
      <x:c r="E48" s="12"/>
      <x:c r="F48" s="12"/>
      <x:c r="G48" s="12"/>
      <x:c r="H48" s="12"/>
    </x:row>
    <x:row r="49" ht="15" hidden="0" customHeight="1">
      <x:c r="A49" s="12"/>
      <x:c r="B49" s="12"/>
      <x:c r="C49" s="12"/>
      <x:c r="D49" s="12"/>
      <x:c r="E49" s="12"/>
      <x:c r="F49" s="12"/>
      <x:c r="G49" s="12"/>
      <x:c r="H49" s="12"/>
    </x:row>
    <x:row r="50" ht="15" hidden="0" customHeight="1">
      <x:c r="A50" s="12"/>
      <x:c r="B50" s="12"/>
      <x:c r="C50" s="12"/>
      <x:c r="D50" s="12"/>
      <x:c r="E50" s="12"/>
      <x:c r="F50" s="12"/>
      <x:c r="G50" s="12"/>
      <x:c r="H50" s="12"/>
    </x:row>
    <x:row r="51" ht="15" hidden="0" customHeight="1">
      <x:c r="A51" s="12"/>
      <x:c r="B51" s="12"/>
      <x:c r="C51" s="12"/>
      <x:c r="D51" s="12"/>
      <x:c r="E51" s="12"/>
      <x:c r="F51" s="12"/>
      <x:c r="G51" s="12"/>
      <x:c r="H51" s="12"/>
    </x:row>
    <x:row r="52" ht="15" hidden="0" customHeight="1">
      <x:c r="A52" s="12"/>
      <x:c r="B52" s="12"/>
      <x:c r="C52" s="12"/>
      <x:c r="D52" s="12"/>
      <x:c r="E52" s="12"/>
      <x:c r="F52" s="12"/>
      <x:c r="G52" s="12"/>
      <x:c r="H52" s="12"/>
    </x:row>
    <x:row r="53" ht="15" hidden="0" customHeight="1">
      <x:c r="A53" s="12"/>
      <x:c r="B53" s="12"/>
      <x:c r="C53" s="12"/>
      <x:c r="D53" s="12"/>
      <x:c r="E53" s="12"/>
      <x:c r="F53" s="12"/>
      <x:c r="G53" s="12"/>
      <x:c r="H53" s="12"/>
    </x:row>
    <x:row r="54" ht="15" hidden="0" customHeight="1">
      <x:c r="A54" s="12"/>
      <x:c r="B54" s="12"/>
      <x:c r="C54" s="12"/>
      <x:c r="D54" s="12"/>
      <x:c r="E54" s="12"/>
      <x:c r="F54" s="12"/>
      <x:c r="G54" s="12"/>
      <x:c r="H54" s="12"/>
    </x:row>
    <x:row r="55" ht="15" hidden="0" customHeight="1">
      <x:c r="A55" s="12"/>
      <x:c r="B55" s="12"/>
      <x:c r="C55" s="12"/>
      <x:c r="D55" s="12"/>
      <x:c r="E55" s="12"/>
      <x:c r="F55" s="12"/>
      <x:c r="G55" s="12"/>
      <x:c r="H55" s="12"/>
    </x:row>
    <x:row r="56" ht="15" hidden="0" customHeight="1">
      <x:c r="A56" s="12"/>
      <x:c r="B56" s="12"/>
      <x:c r="C56" s="12"/>
      <x:c r="D56" s="12"/>
      <x:c r="E56" s="12"/>
      <x:c r="F56" s="12"/>
      <x:c r="G56" s="12"/>
      <x:c r="H56" s="12"/>
    </x:row>
    <x:row r="57" ht="15" hidden="0" customHeight="1">
      <x:c r="A57" s="12"/>
      <x:c r="B57" s="12"/>
      <x:c r="C57" s="12"/>
      <x:c r="D57" s="12"/>
      <x:c r="E57" s="12"/>
      <x:c r="F57" s="12"/>
      <x:c r="G57" s="12"/>
      <x:c r="H57" s="12"/>
    </x:row>
    <x:row r="58" ht="15" hidden="0" customHeight="1">
      <x:c r="A58" s="12"/>
      <x:c r="B58" s="12"/>
      <x:c r="C58" s="12"/>
      <x:c r="D58" s="12"/>
      <x:c r="E58" s="12"/>
      <x:c r="F58" s="12"/>
      <x:c r="G58" s="12"/>
      <x:c r="H58" s="12"/>
    </x:row>
    <x:row r="59" ht="15" hidden="0" customHeight="1">
      <x:c r="A59" s="12"/>
      <x:c r="B59" s="12"/>
      <x:c r="C59" s="12"/>
      <x:c r="D59" s="12"/>
      <x:c r="E59" s="12"/>
      <x:c r="F59" s="12"/>
      <x:c r="G59" s="12"/>
      <x:c r="H59" s="12"/>
    </x:row>
    <x:row r="60" ht="15" hidden="0" customHeight="1">
      <x:c r="A60" s="12"/>
      <x:c r="B60" s="12"/>
      <x:c r="C60" s="12"/>
      <x:c r="D60" s="12"/>
      <x:c r="E60" s="12"/>
      <x:c r="F60" s="12"/>
      <x:c r="G60" s="12"/>
      <x:c r="H60" s="12"/>
    </x:row>
    <x:row r="61" ht="15" hidden="0" customHeight="1">
      <x:c r="A61" s="12"/>
      <x:c r="B61" s="12"/>
      <x:c r="C61" s="12"/>
      <x:c r="D61" s="12"/>
      <x:c r="E61" s="12"/>
      <x:c r="F61" s="12"/>
      <x:c r="G61" s="12"/>
      <x:c r="H61" s="12"/>
    </x:row>
    <x:row r="62" ht="15" hidden="0" customHeight="1">
      <x:c r="A62" s="12"/>
      <x:c r="B62" s="12"/>
      <x:c r="C62" s="12"/>
      <x:c r="D62" s="12"/>
      <x:c r="E62" s="12"/>
      <x:c r="F62" s="12"/>
      <x:c r="G62" s="12"/>
      <x:c r="H62" s="12"/>
    </x:row>
    <x:row r="63" ht="15" hidden="0" customHeight="1">
      <x:c r="A63" s="12"/>
      <x:c r="B63" s="12"/>
      <x:c r="C63" s="12"/>
      <x:c r="D63" s="12"/>
      <x:c r="E63" s="12"/>
      <x:c r="F63" s="12"/>
      <x:c r="G63" s="12"/>
      <x:c r="H63" s="12"/>
    </x:row>
    <x:row r="64" ht="15" hidden="0" customHeight="1">
      <x:c r="A64" s="12"/>
      <x:c r="B64" s="12"/>
      <x:c r="C64" s="12"/>
      <x:c r="D64" s="12"/>
      <x:c r="E64" s="12"/>
      <x:c r="F64" s="12"/>
      <x:c r="G64" s="12"/>
      <x:c r="H64" s="12"/>
    </x:row>
    <x:row r="65" ht="15" hidden="0" customHeight="1">
      <x:c r="A65" s="12"/>
      <x:c r="B65" s="12"/>
      <x:c r="C65" s="12"/>
      <x:c r="D65" s="12"/>
      <x:c r="E65" s="12"/>
      <x:c r="F65" s="12"/>
      <x:c r="G65" s="12"/>
      <x:c r="H65" s="12"/>
    </x:row>
    <x:row r="66" ht="15" hidden="0" customHeight="1">
      <x:c r="A66" s="12"/>
      <x:c r="B66" s="12"/>
      <x:c r="C66" s="12"/>
      <x:c r="D66" s="12"/>
      <x:c r="E66" s="12"/>
      <x:c r="F66" s="12"/>
      <x:c r="G66" s="12"/>
      <x:c r="H66" s="12"/>
    </x:row>
    <x:row r="67" ht="15" hidden="0" customHeight="1">
      <x:c r="A67" s="12"/>
      <x:c r="B67" s="12"/>
      <x:c r="C67" s="12"/>
      <x:c r="D67" s="12"/>
      <x:c r="E67" s="12"/>
      <x:c r="F67" s="12"/>
      <x:c r="G67" s="12"/>
      <x:c r="H67" s="12"/>
    </x:row>
    <x:row r="68" ht="15" hidden="0" customHeight="1">
      <x:c r="A68" s="12"/>
      <x:c r="B68" s="12"/>
      <x:c r="C68" s="12"/>
      <x:c r="D68" s="12"/>
      <x:c r="E68" s="12"/>
      <x:c r="F68" s="12"/>
      <x:c r="G68" s="12"/>
      <x:c r="H68" s="12"/>
    </x:row>
    <x:row r="69" ht="15" hidden="0" customHeight="1">
      <x:c r="A69" s="12"/>
      <x:c r="B69" s="12"/>
      <x:c r="C69" s="12"/>
      <x:c r="D69" s="12"/>
      <x:c r="E69" s="12"/>
      <x:c r="F69" s="12"/>
      <x:c r="G69" s="12"/>
      <x:c r="H69" s="12"/>
    </x:row>
    <x:row r="70" ht="15" hidden="0" customHeight="1">
      <x:c r="A70" s="12"/>
      <x:c r="B70" s="12"/>
      <x:c r="C70" s="12"/>
      <x:c r="D70" s="12"/>
      <x:c r="E70" s="12"/>
      <x:c r="F70" s="12"/>
      <x:c r="G70" s="12"/>
      <x:c r="H70" s="12"/>
    </x:row>
    <x:row r="71" ht="15" hidden="0" customHeight="1">
      <x:c r="A71" s="12"/>
      <x:c r="B71" s="12"/>
      <x:c r="C71" s="12"/>
      <x:c r="D71" s="12"/>
      <x:c r="E71" s="12"/>
      <x:c r="F71" s="12"/>
      <x:c r="G71" s="12"/>
      <x:c r="H71" s="12"/>
    </x:row>
    <x:row r="72" ht="15" hidden="0" customHeight="1">
      <x:c r="A72" s="12"/>
      <x:c r="B72" s="12"/>
      <x:c r="C72" s="12"/>
      <x:c r="D72" s="12"/>
      <x:c r="E72" s="12"/>
      <x:c r="F72" s="12"/>
      <x:c r="G72" s="12"/>
      <x:c r="H72" s="12"/>
    </x:row>
    <x:row r="73" ht="15" hidden="0" customHeight="1">
      <x:c r="A73" s="12"/>
      <x:c r="B73" s="12"/>
      <x:c r="C73" s="12"/>
      <x:c r="D73" s="12"/>
      <x:c r="E73" s="12"/>
      <x:c r="F73" s="12"/>
      <x:c r="G73" s="12"/>
      <x:c r="H73" s="12"/>
    </x:row>
    <x:row r="74" ht="15" hidden="0" customHeight="1">
      <x:c r="A74" s="12"/>
      <x:c r="B74" s="12"/>
      <x:c r="C74" s="12"/>
      <x:c r="D74" s="12"/>
      <x:c r="E74" s="12"/>
      <x:c r="F74" s="12"/>
      <x:c r="G74" s="12"/>
      <x:c r="H74" s="12"/>
    </x:row>
    <x:row r="75" ht="15" hidden="0" customHeight="1">
      <x:c r="A75" s="12"/>
      <x:c r="B75" s="12"/>
      <x:c r="C75" s="12"/>
      <x:c r="D75" s="12"/>
      <x:c r="E75" s="12"/>
      <x:c r="F75" s="12"/>
      <x:c r="G75" s="12"/>
      <x:c r="H75" s="12"/>
    </x:row>
    <x:row r="76" ht="15" hidden="0" customHeight="1">
      <x:c r="A76" s="12"/>
      <x:c r="B76" s="12"/>
      <x:c r="C76" s="12"/>
      <x:c r="D76" s="12"/>
      <x:c r="E76" s="12"/>
      <x:c r="F76" s="12"/>
      <x:c r="G76" s="12"/>
      <x:c r="H76" s="12"/>
    </x:row>
    <x:row r="77" ht="15" hidden="0" customHeight="1">
      <x:c r="A77" s="12"/>
      <x:c r="B77" s="12"/>
      <x:c r="C77" s="12"/>
      <x:c r="D77" s="12"/>
      <x:c r="E77" s="12"/>
      <x:c r="F77" s="12"/>
      <x:c r="G77" s="12"/>
      <x:c r="H77" s="12"/>
    </x:row>
    <x:row r="78" ht="15" hidden="0" customHeight="1">
      <x:c r="A78" s="12"/>
      <x:c r="B78" s="12"/>
      <x:c r="C78" s="12"/>
      <x:c r="D78" s="12"/>
      <x:c r="E78" s="12"/>
      <x:c r="F78" s="12"/>
      <x:c r="G78" s="12"/>
      <x:c r="H78" s="12"/>
    </x:row>
    <x:row r="79" ht="15" hidden="0" customHeight="1">
      <x:c r="A79" s="12"/>
      <x:c r="B79" s="12"/>
      <x:c r="C79" s="12"/>
      <x:c r="D79" s="12"/>
      <x:c r="E79" s="12"/>
      <x:c r="F79" s="12"/>
      <x:c r="G79" s="12"/>
      <x:c r="H79" s="12"/>
    </x:row>
    <x:row r="80" ht="15" hidden="0" customHeight="1">
      <x:c r="A80" s="12"/>
      <x:c r="B80" s="12"/>
      <x:c r="C80" s="12"/>
      <x:c r="D80" s="12"/>
      <x:c r="E80" s="12"/>
      <x:c r="F80" s="12"/>
      <x:c r="G80" s="12"/>
      <x:c r="H80" s="12"/>
    </x:row>
    <x:row r="81" ht="15" hidden="0" customHeight="1">
      <x:c r="A81" s="12"/>
      <x:c r="B81" s="12"/>
      <x:c r="C81" s="12"/>
      <x:c r="D81" s="12"/>
      <x:c r="E81" s="12"/>
      <x:c r="F81" s="12"/>
      <x:c r="G81" s="12"/>
      <x:c r="H81" s="12"/>
    </x:row>
    <x:row r="82" ht="15" hidden="0" customHeight="1">
      <x:c r="A82" s="12"/>
      <x:c r="B82" s="12"/>
      <x:c r="C82" s="12"/>
      <x:c r="D82" s="12"/>
      <x:c r="E82" s="12"/>
      <x:c r="F82" s="12"/>
      <x:c r="G82" s="12"/>
      <x:c r="H82" s="12"/>
    </x:row>
    <x:row r="83" ht="15" hidden="0" customHeight="1">
      <x:c r="A83" s="12"/>
      <x:c r="B83" s="12"/>
      <x:c r="C83" s="12"/>
      <x:c r="D83" s="12"/>
      <x:c r="E83" s="12"/>
      <x:c r="F83" s="12"/>
      <x:c r="G83" s="12"/>
      <x:c r="H83" s="12"/>
    </x:row>
    <x:row r="84" ht="15" hidden="0" customHeight="1">
      <x:c r="A84" s="12"/>
      <x:c r="B84" s="12"/>
      <x:c r="C84" s="12"/>
      <x:c r="D84" s="12"/>
      <x:c r="E84" s="12"/>
      <x:c r="F84" s="12"/>
      <x:c r="G84" s="12"/>
      <x:c r="H84" s="12"/>
    </x:row>
    <x:row r="85" ht="15" hidden="0" customHeight="1">
      <x:c r="A85" s="12"/>
      <x:c r="B85" s="12"/>
      <x:c r="C85" s="12"/>
      <x:c r="D85" s="12"/>
      <x:c r="E85" s="12"/>
      <x:c r="F85" s="12"/>
      <x:c r="G85" s="12"/>
      <x:c r="H85" s="12"/>
    </x:row>
    <x:row r="86" ht="15" hidden="0" customHeight="1">
      <x:c r="A86" s="12"/>
      <x:c r="B86" s="12"/>
      <x:c r="C86" s="12"/>
      <x:c r="D86" s="12"/>
      <x:c r="E86" s="12"/>
      <x:c r="F86" s="12"/>
      <x:c r="G86" s="12"/>
      <x:c r="H86" s="12"/>
    </x:row>
    <x:row r="87" ht="15" hidden="0" customHeight="1">
      <x:c r="A87" s="12"/>
      <x:c r="B87" s="12"/>
      <x:c r="C87" s="12"/>
      <x:c r="D87" s="12"/>
      <x:c r="E87" s="12"/>
      <x:c r="F87" s="12"/>
      <x:c r="G87" s="12"/>
      <x:c r="H87" s="12"/>
    </x:row>
    <x:row r="88" ht="15" hidden="0" customHeight="1">
      <x:c r="A88" s="12"/>
      <x:c r="B88" s="12"/>
      <x:c r="C88" s="12"/>
      <x:c r="D88" s="12"/>
      <x:c r="E88" s="12"/>
      <x:c r="F88" s="12"/>
      <x:c r="G88" s="12"/>
      <x:c r="H88" s="12"/>
    </x:row>
    <x:row r="89" ht="15" hidden="0" customHeight="1">
      <x:c r="A89" s="12"/>
      <x:c r="B89" s="12"/>
      <x:c r="C89" s="12"/>
      <x:c r="D89" s="12"/>
      <x:c r="E89" s="12"/>
      <x:c r="F89" s="12"/>
      <x:c r="G89" s="12"/>
      <x:c r="H89" s="12"/>
    </x:row>
    <x:row r="90" ht="15" hidden="0" customHeight="1">
      <x:c r="A90" s="12"/>
      <x:c r="B90" s="12"/>
      <x:c r="C90" s="12"/>
      <x:c r="D90" s="12"/>
      <x:c r="E90" s="12"/>
      <x:c r="F90" s="12"/>
      <x:c r="G90" s="12"/>
      <x:c r="H90" s="12"/>
    </x:row>
    <x:row r="91" ht="15" hidden="0" customHeight="1">
      <x:c r="A91" s="12"/>
      <x:c r="B91" s="12"/>
      <x:c r="C91" s="12"/>
      <x:c r="D91" s="12"/>
      <x:c r="E91" s="12"/>
      <x:c r="F91" s="12"/>
      <x:c r="G91" s="12"/>
      <x:c r="H91" s="12"/>
    </x:row>
    <x:row r="92" ht="15" hidden="0" customHeight="1">
      <x:c r="A92" s="12"/>
      <x:c r="B92" s="12"/>
      <x:c r="C92" s="12"/>
      <x:c r="D92" s="12"/>
      <x:c r="E92" s="12"/>
      <x:c r="F92" s="12"/>
      <x:c r="G92" s="12"/>
      <x:c r="H92" s="12"/>
    </x:row>
    <x:row r="93" ht="15" hidden="0" customHeight="1">
      <x:c r="A93" s="12"/>
      <x:c r="B93" s="12"/>
      <x:c r="C93" s="12"/>
      <x:c r="D93" s="12"/>
      <x:c r="E93" s="12"/>
      <x:c r="F93" s="12"/>
      <x:c r="G93" s="12"/>
      <x:c r="H93" s="12"/>
    </x:row>
    <x:row r="94" ht="15" hidden="0" customHeight="1">
      <x:c r="A94" s="12"/>
      <x:c r="B94" s="12"/>
      <x:c r="C94" s="12"/>
      <x:c r="D94" s="12"/>
      <x:c r="E94" s="12"/>
      <x:c r="F94" s="12"/>
      <x:c r="G94" s="12"/>
      <x:c r="H94" s="12"/>
    </x:row>
    <x:row r="95" ht="15" hidden="0" customHeight="1">
      <x:c r="A95" s="12"/>
      <x:c r="B95" s="12"/>
      <x:c r="C95" s="12"/>
      <x:c r="D95" s="12"/>
      <x:c r="E95" s="12"/>
      <x:c r="F95" s="12"/>
      <x:c r="G95" s="12"/>
      <x:c r="H95" s="12"/>
    </x:row>
    <x:row r="96" ht="15" hidden="0" customHeight="1">
      <x:c r="A96" s="12"/>
      <x:c r="B96" s="12"/>
      <x:c r="C96" s="12"/>
      <x:c r="D96" s="12"/>
      <x:c r="E96" s="12"/>
      <x:c r="F96" s="12"/>
      <x:c r="G96" s="12"/>
      <x:c r="H96" s="12"/>
    </x:row>
    <x:row r="97" ht="15" hidden="0" customHeight="1">
      <x:c r="A97" s="12"/>
      <x:c r="B97" s="12"/>
      <x:c r="C97" s="12"/>
      <x:c r="D97" s="12"/>
      <x:c r="E97" s="12"/>
      <x:c r="F97" s="12"/>
      <x:c r="G97" s="12"/>
      <x:c r="H97" s="12"/>
    </x:row>
    <x:row r="98" ht="15" hidden="0" customHeight="1">
      <x:c r="A98" s="12"/>
      <x:c r="B98" s="12"/>
      <x:c r="C98" s="12"/>
      <x:c r="D98" s="12"/>
      <x:c r="E98" s="12"/>
      <x:c r="F98" s="12"/>
      <x:c r="G98" s="12"/>
      <x:c r="H98" s="12"/>
    </x:row>
    <x:row r="99" ht="15" hidden="0" customHeight="1">
      <x:c r="A99" s="12"/>
      <x:c r="B99" s="12"/>
      <x:c r="C99" s="12"/>
      <x:c r="D99" s="12"/>
      <x:c r="E99" s="12"/>
      <x:c r="F99" s="12"/>
      <x:c r="G99" s="12"/>
      <x:c r="H99" s="12"/>
    </x:row>
    <x:row r="100" ht="15" hidden="0" customHeight="1">
      <x:c r="A100" s="12"/>
      <x:c r="B100" s="12"/>
      <x:c r="C100" s="12"/>
      <x:c r="D100" s="12"/>
      <x:c r="E100" s="12"/>
      <x:c r="F100" s="12"/>
      <x:c r="G100" s="12"/>
      <x:c r="H100" s="12"/>
    </x:row>
    <x:row r="101" ht="15" hidden="0" customHeight="1">
      <x:c r="A101" s="12"/>
      <x:c r="B101" s="12"/>
      <x:c r="C101" s="12"/>
      <x:c r="D101" s="12"/>
      <x:c r="E101" s="12"/>
      <x:c r="F101" s="12"/>
      <x:c r="G101" s="12"/>
      <x:c r="H101" s="12"/>
    </x:row>
    <x:row r="102" ht="15" hidden="0" customHeight="1">
      <x:c r="A102" s="12"/>
      <x:c r="B102" s="12"/>
      <x:c r="C102" s="12"/>
      <x:c r="D102" s="12"/>
      <x:c r="E102" s="12"/>
      <x:c r="F102" s="12"/>
      <x:c r="G102" s="12"/>
      <x:c r="H102" s="12"/>
    </x:row>
    <x:row r="103" ht="15" hidden="0" customHeight="1">
      <x:c r="A103" s="12"/>
      <x:c r="B103" s="12"/>
      <x:c r="C103" s="12"/>
      <x:c r="D103" s="12"/>
      <x:c r="E103" s="12"/>
      <x:c r="F103" s="12"/>
      <x:c r="G103" s="12"/>
      <x:c r="H103" s="12"/>
    </x:row>
    <x:row r="104" ht="15" hidden="0" customHeight="1">
      <x:c r="A104" s="12"/>
      <x:c r="B104" s="12"/>
      <x:c r="C104" s="12"/>
      <x:c r="D104" s="12"/>
      <x:c r="E104" s="12"/>
      <x:c r="F104" s="12"/>
      <x:c r="G104" s="12"/>
      <x:c r="H104" s="12"/>
    </x:row>
    <x:row r="105" ht="15" hidden="0" customHeight="1">
      <x:c r="A105" s="12"/>
      <x:c r="B105" s="12"/>
      <x:c r="C105" s="12"/>
      <x:c r="D105" s="12"/>
      <x:c r="E105" s="12"/>
      <x:c r="F105" s="12"/>
      <x:c r="G105" s="12"/>
      <x:c r="H105" s="12"/>
    </x:row>
    <x:row r="106" ht="15" hidden="0" customHeight="1">
      <x:c r="A106" s="12"/>
      <x:c r="B106" s="12"/>
      <x:c r="C106" s="12"/>
      <x:c r="D106" s="12"/>
      <x:c r="E106" s="12"/>
      <x:c r="F106" s="12"/>
      <x:c r="G106" s="12"/>
      <x:c r="H106" s="12"/>
    </x:row>
    <x:row r="107" ht="15" hidden="0" customHeight="1">
      <x:c r="A107" s="12"/>
      <x:c r="B107" s="12"/>
      <x:c r="C107" s="12"/>
      <x:c r="D107" s="12"/>
      <x:c r="E107" s="12"/>
      <x:c r="F107" s="12"/>
      <x:c r="G107" s="12"/>
      <x:c r="H107" s="12"/>
    </x:row>
    <x:row r="108" ht="15" hidden="0" customHeight="1">
      <x:c r="A108" s="12"/>
      <x:c r="B108" s="12"/>
      <x:c r="C108" s="12"/>
      <x:c r="D108" s="12"/>
      <x:c r="E108" s="12"/>
      <x:c r="F108" s="12"/>
      <x:c r="G108" s="12"/>
      <x:c r="H108" s="12"/>
    </x:row>
    <x:row r="109" ht="15" hidden="0" customHeight="1">
      <x:c r="A109" s="12"/>
      <x:c r="B109" s="12"/>
      <x:c r="C109" s="12"/>
      <x:c r="D109" s="12"/>
      <x:c r="E109" s="12"/>
      <x:c r="F109" s="12"/>
      <x:c r="G109" s="12"/>
      <x:c r="H109" s="12"/>
    </x:row>
    <x:row r="110" ht="15" hidden="0" customHeight="1">
      <x:c r="A110" s="12"/>
      <x:c r="B110" s="12"/>
      <x:c r="C110" s="12"/>
      <x:c r="D110" s="12"/>
      <x:c r="E110" s="12"/>
      <x:c r="F110" s="12"/>
      <x:c r="G110" s="12"/>
      <x:c r="H110" s="12"/>
    </x:row>
    <x:row r="111" ht="15" hidden="0" customHeight="1">
      <x:c r="A111" s="12"/>
      <x:c r="B111" s="12"/>
      <x:c r="C111" s="12"/>
      <x:c r="D111" s="12"/>
      <x:c r="E111" s="12"/>
      <x:c r="F111" s="12"/>
      <x:c r="G111" s="12"/>
      <x:c r="H111" s="12"/>
    </x:row>
    <x:row r="112" ht="15" hidden="0" customHeight="1">
      <x:c r="A112" s="12"/>
      <x:c r="B112" s="12"/>
      <x:c r="C112" s="12"/>
      <x:c r="D112" s="12"/>
      <x:c r="E112" s="12"/>
      <x:c r="F112" s="12"/>
      <x:c r="G112" s="12"/>
      <x:c r="H112" s="12"/>
    </x:row>
    <x:row r="113" ht="15" hidden="0" customHeight="1">
      <x:c r="A113" s="12"/>
      <x:c r="B113" s="12"/>
      <x:c r="C113" s="12"/>
      <x:c r="D113" s="12"/>
      <x:c r="E113" s="12"/>
      <x:c r="F113" s="12"/>
      <x:c r="G113" s="12"/>
      <x:c r="H113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19.200000762939453" hidden="0" customHeight="1">
      <x:c r="A1" s="215" t="str">
        <x:v>PHASE 7 ROBUST DESIGN — ALL CASES D20 &lt;= 0.70</x:v>
      </x:c>
      <x:c r="B1" s="215"/>
      <x:c r="C1" s="215"/>
      <x:c r="D1" s="215"/>
      <x:c r="E1" s="215"/>
      <x:c r="F1" s="215"/>
      <x:c r="G1" s="215"/>
      <x:c r="H1" s="215"/>
      <x:c r="I1" s="215"/>
      <x:c r="J1" s="215"/>
      <x:c r="K1" s="12"/>
      <x:c r="L1" s="12"/>
      <x:c r="M1" s="12"/>
    </x:row>
    <x:row r="2" ht="15" hidden="0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3" ht="15" hidden="0" customHeight="1">
      <x:c r="A3" s="212" t="str">
        <x:v>case_id</x:v>
      </x:c>
      <x:c r="B3" s="216" t="str">
        <x:v>curve_C_MPa</x:v>
      </x:c>
      <x:c r="C3" s="216" t="str">
        <x:v>curve_b</x:v>
      </x:c>
      <x:c r="D3" s="216" t="str">
        <x:v>split_error_percent</x:v>
      </x:c>
      <x:c r="E3" s="216" t="str">
        <x:v>governing_r_m</x:v>
      </x:c>
      <x:c r="F3" s="216" t="str">
        <x:v>governing_web</x:v>
      </x:c>
      <x:c r="G3" s="216" t="str">
        <x:v>max_face_D20</x:v>
      </x:c>
      <x:c r="H3" s="216" t="str">
        <x:v>target_D20</x:v>
      </x:c>
      <x:c r="I3" s="216" t="str">
        <x:v>margin_to_target</x:v>
      </x:c>
      <x:c r="J3" s="213" t="str">
        <x:v>status</x:v>
      </x:c>
      <x:c r="K3" s="212" t="str">
        <x:v>Case</x:v>
      </x:c>
      <x:c r="L3" s="216" t="str">
        <x:v>Max D20</x:v>
      </x:c>
      <x:c r="M3" s="213" t="str">
        <x:v>Target</x:v>
      </x:c>
    </x:row>
    <x:row r="4" ht="15" hidden="0" customHeight="1">
      <x:c r="A4" s="12" t="str">
        <x:v>nominal_b10_split0</x:v>
      </x:c>
      <x:c r="B4" s="139" t="n">
        <x:v>62</x:v>
      </x:c>
      <x:c r="C4" s="139" t="n">
        <x:v>10</x:v>
      </x:c>
      <x:c r="D4" s="139" t="n">
        <x:v>0</x:v>
      </x:c>
      <x:c r="E4" s="12" t="n">
        <x:v>26.65</x:v>
      </x:c>
      <x:c r="F4" s="161" t="str">
        <x:v>forward</x:v>
      </x:c>
      <x:c r="G4" s="161" t="n">
        <x:v>0.05525279164532104</x:v>
      </x:c>
      <x:c r="H4" s="161" t="n">
        <x:v>0.7</x:v>
      </x:c>
      <x:c r="I4" s="12" t="n">
        <x:v>0.6447472083546789</x:v>
      </x:c>
      <x:c r="J4" s="12" t="str">
        <x:v>PASS</x:v>
      </x:c>
      <x:c r="K4" s="12" t="str">
        <x:f>A4</x:f>
        <x:v>nominal_b10_split0</x:v>
      </x:c>
      <x:c r="L4" s="12" t="n">
        <x:f>G4</x:f>
        <x:v>0.05525279164532104</x:v>
      </x:c>
      <x:c r="M4" s="12" t="n">
        <x:f>H4</x:f>
        <x:v>0.7</x:v>
      </x:c>
    </x:row>
    <x:row r="5" ht="15" hidden="0" customHeight="1">
      <x:c r="A5" s="12" t="str">
        <x:v>b9_split0</x:v>
      </x:c>
      <x:c r="B5" s="139" t="n">
        <x:v>62</x:v>
      </x:c>
      <x:c r="C5" s="139" t="n">
        <x:v>9</x:v>
      </x:c>
      <x:c r="D5" s="139" t="n">
        <x:v>0</x:v>
      </x:c>
      <x:c r="E5" s="12" t="n">
        <x:v>26.65</x:v>
      </x:c>
      <x:c r="F5" s="161" t="str">
        <x:v>forward</x:v>
      </x:c>
      <x:c r="G5" s="161" t="n">
        <x:v>0.29384533681693864</x:v>
      </x:c>
      <x:c r="H5" s="161" t="n">
        <x:v>0.7</x:v>
      </x:c>
      <x:c r="I5" s="12" t="n">
        <x:v>0.4061546631830613</x:v>
      </x:c>
      <x:c r="J5" s="12" t="str">
        <x:v>PASS</x:v>
      </x:c>
      <x:c r="K5" s="12" t="str">
        <x:f>A5</x:f>
        <x:v>b9_split0</x:v>
      </x:c>
      <x:c r="L5" s="12" t="n">
        <x:f>G5</x:f>
        <x:v>0.29384533681693864</x:v>
      </x:c>
      <x:c r="M5" s="12" t="n">
        <x:f>H5</x:f>
        <x:v>0.7</x:v>
      </x:c>
    </x:row>
    <x:row r="6" ht="15" hidden="0" customHeight="1">
      <x:c r="A6" s="12" t="str">
        <x:v>b10_split_minus10</x:v>
      </x:c>
      <x:c r="B6" s="139" t="n">
        <x:v>62</x:v>
      </x:c>
      <x:c r="C6" s="139" t="n">
        <x:v>10</x:v>
      </x:c>
      <x:c r="D6" s="139" t="n">
        <x:v>-10</x:v>
      </x:c>
      <x:c r="E6" s="12" t="n">
        <x:v>26.65</x:v>
      </x:c>
      <x:c r="F6" s="161" t="str">
        <x:v>aft</x:v>
      </x:c>
      <x:c r="G6" s="161" t="n">
        <x:v>0.13684470304494784</x:v>
      </x:c>
      <x:c r="H6" s="161" t="n">
        <x:v>0.7</x:v>
      </x:c>
      <x:c r="I6" s="12" t="n">
        <x:v>0.5631552969550522</x:v>
      </x:c>
      <x:c r="J6" s="12" t="str">
        <x:v>PASS</x:v>
      </x:c>
      <x:c r="K6" s="12" t="str">
        <x:f>A6</x:f>
        <x:v>b10_split_minus10</x:v>
      </x:c>
      <x:c r="L6" s="12" t="n">
        <x:f>G6</x:f>
        <x:v>0.13684470304494784</x:v>
      </x:c>
      <x:c r="M6" s="12" t="n">
        <x:f>H6</x:f>
        <x:v>0.7</x:v>
      </x:c>
    </x:row>
    <x:row r="7" ht="15" hidden="0" customHeight="1">
      <x:c r="A7" s="12" t="str">
        <x:v>b10_split_plus10</x:v>
      </x:c>
      <x:c r="B7" s="139" t="n">
        <x:v>62</x:v>
      </x:c>
      <x:c r="C7" s="139" t="n">
        <x:v>10</x:v>
      </x:c>
      <x:c r="D7" s="139" t="n">
        <x:v>10</x:v>
      </x:c>
      <x:c r="E7" s="12" t="n">
        <x:v>26.65</x:v>
      </x:c>
      <x:c r="F7" s="161" t="str">
        <x:v>forward</x:v>
      </x:c>
      <x:c r="G7" s="161" t="n">
        <x:v>0.14331151172952747</x:v>
      </x:c>
      <x:c r="H7" s="161" t="n">
        <x:v>0.7</x:v>
      </x:c>
      <x:c r="I7" s="12" t="n">
        <x:v>0.5566884882704725</x:v>
      </x:c>
      <x:c r="J7" s="12" t="str">
        <x:v>PASS</x:v>
      </x:c>
      <x:c r="K7" s="12" t="str">
        <x:f>A7</x:f>
        <x:v>b10_split_plus10</x:v>
      </x:c>
      <x:c r="L7" s="12" t="n">
        <x:f>G7</x:f>
        <x:v>0.14331151172952747</x:v>
      </x:c>
      <x:c r="M7" s="12" t="n">
        <x:f>H7</x:f>
        <x:v>0.7</x:v>
      </x:c>
    </x:row>
    <x:row r="8" ht="15" hidden="0" customHeight="1">
      <x:c r="A8" s="12" t="str">
        <x:v>b9_split_minus10</x:v>
      </x:c>
      <x:c r="B8" s="139" t="n">
        <x:v>62</x:v>
      </x:c>
      <x:c r="C8" s="139" t="n">
        <x:v>9</x:v>
      </x:c>
      <x:c r="D8" s="139" t="n">
        <x:v>-10</x:v>
      </x:c>
      <x:c r="E8" s="12" t="n">
        <x:v>26.65</x:v>
      </x:c>
      <x:c r="F8" s="161" t="str">
        <x:v>aft</x:v>
      </x:c>
      <x:c r="G8" s="161" t="n">
        <x:v>0.6646686456804617</x:v>
      </x:c>
      <x:c r="H8" s="161" t="n">
        <x:v>0.7</x:v>
      </x:c>
      <x:c r="I8" s="12" t="n">
        <x:v>0.035331354319538266</x:v>
      </x:c>
      <x:c r="J8" s="12" t="str">
        <x:v>PASS</x:v>
      </x:c>
      <x:c r="K8" s="12" t="str">
        <x:f>A8</x:f>
        <x:v>b9_split_minus10</x:v>
      </x:c>
      <x:c r="L8" s="12" t="n">
        <x:f>G8</x:f>
        <x:v>0.6646686456804617</x:v>
      </x:c>
      <x:c r="M8" s="12" t="n">
        <x:f>H8</x:f>
        <x:v>0.7</x:v>
      </x:c>
    </x:row>
    <x:row r="9" ht="15" hidden="0" customHeight="1">
      <x:c r="A9" s="12" t="str">
        <x:v>b9_split_plus10</x:v>
      </x:c>
      <x:c r="B9" s="139" t="n">
        <x:v>62</x:v>
      </x:c>
      <x:c r="C9" s="139" t="n">
        <x:v>9</x:v>
      </x:c>
      <x:c r="D9" s="139" t="n">
        <x:v>10</x:v>
      </x:c>
      <x:c r="E9" s="12" t="n">
        <x:v>26.65</x:v>
      </x:c>
      <x:c r="F9" s="161" t="str">
        <x:v>forward</x:v>
      </x:c>
      <x:c r="G9" s="161" t="n">
        <x:v>0.6928719334586165</x:v>
      </x:c>
      <x:c r="H9" s="161" t="n">
        <x:v>0.7</x:v>
      </x:c>
      <x:c r="I9" s="12" t="n">
        <x:v>0.0071280665413834265</x:v>
      </x:c>
      <x:c r="J9" s="12" t="str">
        <x:v>PASS</x:v>
      </x:c>
      <x:c r="K9" s="12" t="str">
        <x:f>A9</x:f>
        <x:v>b9_split_plus10</x:v>
      </x:c>
      <x:c r="L9" s="12" t="n">
        <x:f>G9</x:f>
        <x:v>0.6928719334586165</x:v>
      </x:c>
      <x:c r="M9" s="12" t="n">
        <x:f>H9</x:f>
        <x:v>0.7</x:v>
      </x:c>
    </x:row>
    <x:row r="10" ht="15" hidden="0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 ht="15" hidden="0" customHeight="1">
      <x:c r="A12" s="212" t="str">
        <x:v>Final one-zone schedule</x:v>
      </x:c>
      <x:c r="B12" s="216"/>
      <x:c r="C12" s="216"/>
      <x:c r="D12" s="216"/>
      <x:c r="E12" s="213"/>
      <x:c r="F12" s="12"/>
      <x:c r="G12" s="12"/>
      <x:c r="H12" s="12"/>
      <x:c r="I12" s="12"/>
      <x:c r="J12" s="12"/>
      <x:c r="K12" s="12"/>
      <x:c r="L12" s="12"/>
      <x:c r="M12" s="12"/>
    </x:row>
    <x:row r="13" ht="15" hidden="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6.399999618530273" hidden="0" customHeight="1">
      <x:c r="A14" s="212" t="str">
        <x:v>web</x:v>
      </x:c>
      <x:c r="B14" s="216" t="str">
        <x:v>start_m</x:v>
      </x:c>
      <x:c r="C14" s="216" t="str">
        <x:v>end_m</x:v>
      </x:c>
      <x:c r="D14" s="216" t="str">
        <x:v>face_layers_each_side</x:v>
      </x:c>
      <x:c r="E14" s="213" t="str">
        <x:v>core_thickness_m</x:v>
      </x:c>
      <x:c r="F14" s="12"/>
      <x:c r="G14" s="12"/>
      <x:c r="H14" s="12"/>
      <x:c r="I14" s="12"/>
      <x:c r="J14" s="12"/>
      <x:c r="K14" s="12"/>
      <x:c r="L14" s="12"/>
      <x:c r="M14" s="12"/>
    </x:row>
    <x:row r="15" ht="15" hidden="0" customHeight="1">
      <x:c r="A15" s="12" t="str">
        <x:v>forward</x:v>
      </x:c>
      <x:c r="B15" s="12" t="n">
        <x:v>1.3667</x:v>
      </x:c>
      <x:c r="C15" s="12" t="n">
        <x:v>60.1333</x:v>
      </x:c>
      <x:c r="D15" s="139" t="n">
        <x:v>5</x:v>
      </x:c>
      <x:c r="E15" s="139" t="n">
        <x:v>0.06</x:v>
      </x:c>
      <x:c r="F15" s="12"/>
      <x:c r="G15" s="12"/>
      <x:c r="H15" s="12"/>
      <x:c r="I15" s="12"/>
      <x:c r="J15" s="12"/>
      <x:c r="K15" s="12"/>
      <x:c r="L15" s="12"/>
      <x:c r="M15" s="12"/>
    </x:row>
    <x:row r="16" ht="15" hidden="0" customHeight="1">
      <x:c r="A16" s="12" t="str">
        <x:v>aft</x:v>
      </x:c>
      <x:c r="B16" s="12" t="n">
        <x:v>1.3667</x:v>
      </x:c>
      <x:c r="C16" s="12" t="n">
        <x:v>60.1333</x:v>
      </x:c>
      <x:c r="D16" s="139" t="n">
        <x:v>6</x:v>
      </x:c>
      <x:c r="E16" s="139" t="n">
        <x:v>0.06</x:v>
      </x:c>
      <x:c r="F16" s="12"/>
      <x:c r="G16" s="12"/>
      <x:c r="H16" s="12"/>
      <x:c r="I16" s="12"/>
      <x:c r="J16" s="12"/>
      <x:c r="K16" s="12"/>
      <x:c r="L16" s="12"/>
      <x:c r="M16" s="12"/>
    </x:row>
    <x:row r="17" ht="15" hidden="0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 ht="15" hidden="0" customHeight="1">
      <x:c r="A19" s="212" t="str">
        <x:v>FW DB/side</x:v>
      </x:c>
      <x:c r="B19" s="216" t="str">
        <x:v>AFT DB/side</x:v>
      </x:c>
      <x:c r="C19" s="216" t="str">
        <x:v>Core m</x:v>
      </x:c>
      <x:c r="D19" s="216" t="str">
        <x:v>Zones/web</x:v>
      </x:c>
      <x:c r="E19" s="216" t="str">
        <x:v>Max step</x:v>
      </x:c>
      <x:c r="F19" s="216" t="str">
        <x:v>Est. mass kg</x:v>
      </x:c>
      <x:c r="G19" s="216" t="str">
        <x:v>Max split imbalance</x:v>
      </x:c>
      <x:c r="H19" s="216" t="str">
        <x:v>Worst face D20</x:v>
      </x:c>
      <x:c r="I19" s="216" t="str">
        <x:v>Worst core D20</x:v>
      </x:c>
      <x:c r="J19" s="213" t="str">
        <x:v>Status</x:v>
      </x:c>
      <x:c r="K19" s="12"/>
      <x:c r="L19" s="12"/>
      <x:c r="M19" s="12"/>
    </x:row>
    <x:row r="20" ht="15" hidden="0" customHeight="1">
      <x:c r="A20" s="214" t="n">
        <x:v>5</x:v>
      </x:c>
      <x:c r="B20" s="214" t="n">
        <x:v>6</x:v>
      </x:c>
      <x:c r="C20" s="214" t="n">
        <x:v>0.06</x:v>
      </x:c>
      <x:c r="D20" s="214" t="n">
        <x:v>1</x:v>
      </x:c>
      <x:c r="E20" s="214" t="n">
        <x:v>0</x:v>
      </x:c>
      <x:c r="F20" s="214" t="n">
        <x:v>3721.421707486302</x:v>
      </x:c>
      <x:c r="G20" s="214" t="n">
        <x:v>0.05235652362450938</x:v>
      </x:c>
      <x:c r="H20" s="214" t="n">
        <x:v>0.6928719334586165</x:v>
      </x:c>
      <x:c r="I20" s="214" t="n">
        <x:v>8.971869107947785e-19</x:v>
      </x:c>
      <x:c r="J20" s="214" t="str">
        <x:v>SELECTED PASS</x:v>
      </x:c>
      <x:c r="K20" s="12"/>
      <x:c r="L20" s="12"/>
      <x:c r="M20" s="12"/>
    </x:row>
    <x:row r="21" ht="15" hidden="0" customHeight="1">
      <x:c r="A21" s="12" t="n">
        <x:v>2</x:v>
      </x:c>
      <x:c r="B21" s="12" t="n">
        <x:v>10</x:v>
      </x:c>
      <x:c r="C21" s="12" t="n">
        <x:v>0.05</x:v>
      </x:c>
      <x:c r="D21" s="12" t="n">
        <x:v>1</x:v>
      </x:c>
      <x:c r="E21" s="12" t="n">
        <x:v>0</x:v>
      </x:c>
      <x:c r="F21" s="12" t="n">
        <x:v>3765.7534471160934</x:v>
      </x:c>
      <x:c r="G21" s="12" t="n">
        <x:v>0.3349014283997011</x:v>
      </x:c>
      <x:c r="H21" s="12" t="n">
        <x:v>0.4536456683773735</x:v>
      </x:c>
      <x:c r="I21" s="12" t="n">
        <x:v>5.081590592131442e-19</x:v>
      </x:c>
      <x:c r="J21" s="12" t="str">
        <x:v>PASS</x:v>
      </x:c>
      <x:c r="K21" s="12"/>
      <x:c r="L21" s="12"/>
      <x:c r="M21" s="12"/>
    </x:row>
    <x:row r="22" ht="15" hidden="0" customHeight="1">
      <x:c r="A22" s="12" t="n">
        <x:v>3</x:v>
      </x:c>
      <x:c r="B22" s="12" t="n">
        <x:v>9</x:v>
      </x:c>
      <x:c r="C22" s="12" t="n">
        <x:v>0.05</x:v>
      </x:c>
      <x:c r="D22" s="12" t="n">
        <x:v>1</x:v>
      </x:c>
      <x:c r="E22" s="12" t="n">
        <x:v>0</x:v>
      </x:c>
      <x:c r="F22" s="12" t="n">
        <x:v>3786.957221947895</x:v>
      </x:c>
      <x:c r="G22" s="12" t="n">
        <x:v>0.25363260757311124</x:v>
      </x:c>
      <x:c r="H22" s="12" t="n">
        <x:v>0.41081904188285195</x:v>
      </x:c>
      <x:c r="I22" s="12" t="n">
        <x:v>4.4483121748891e-19</x:v>
      </x:c>
      <x:c r="J22" s="12" t="str">
        <x:v>PASS</x:v>
      </x:c>
      <x:c r="K22" s="12"/>
      <x:c r="L22" s="12"/>
      <x:c r="M22" s="12"/>
    </x:row>
    <x:row r="23" ht="15" hidden="0" customHeight="1">
      <x:c r="A23" s="12" t="n">
        <x:v>4</x:v>
      </x:c>
      <x:c r="B23" s="12" t="n">
        <x:v>8</x:v>
      </x:c>
      <x:c r="C23" s="12" t="n">
        <x:v>0.05</x:v>
      </x:c>
      <x:c r="D23" s="12" t="n">
        <x:v>1</x:v>
      </x:c>
      <x:c r="E23" s="12" t="n">
        <x:v>0</x:v>
      </x:c>
      <x:c r="F23" s="12" t="n">
        <x:v>3808.160996779696</x:v>
      </x:c>
      <x:c r="G23" s="12" t="n">
        <x:v>0.17196631396824286</x:v>
      </x:c>
      <x:c r="H23" s="12" t="n">
        <x:v>0.37243776075233465</x:v>
      </x:c>
      <x:c r="I23" s="12" t="n">
        <x:v>3.899606696776552e-19</x:v>
      </x:c>
      <x:c r="J23" s="12" t="str">
        <x:v>PASS</x:v>
      </x:c>
      <x:c r="K23" s="12"/>
      <x:c r="L23" s="12"/>
      <x:c r="M23" s="12"/>
    </x:row>
    <x:row r="24" ht="15" hidden="0" customHeight="1">
      <x:c r="A24" s="12" t="n">
        <x:v>5</x:v>
      </x:c>
      <x:c r="B24" s="12" t="n">
        <x:v>7</x:v>
      </x:c>
      <x:c r="C24" s="12" t="n">
        <x:v>0.05</x:v>
      </x:c>
      <x:c r="D24" s="12" t="n">
        <x:v>1</x:v>
      </x:c>
      <x:c r="E24" s="12" t="n">
        <x:v>0</x:v>
      </x:c>
      <x:c r="F24" s="12" t="n">
        <x:v>3829.364771611497</x:v>
      </x:c>
      <x:c r="G24" s="12" t="n">
        <x:v>0.08989962447337296</x:v>
      </x:c>
      <x:c r="H24" s="12" t="n">
        <x:v>0.33799951171083864</x:v>
      </x:c>
      <x:c r="I24" s="12" t="n">
        <x:v>3.4234401428700173e-19</x:v>
      </x:c>
      <x:c r="J24" s="12" t="str">
        <x:v>PASS</x:v>
      </x:c>
      <x:c r="K24" s="12"/>
      <x:c r="L24" s="12"/>
      <x:c r="M24" s="12"/>
    </x:row>
    <x:row r="25" ht="15" hidden="0" customHeight="1">
      <x:c r="A25" s="12" t="n">
        <x:v>6</x:v>
      </x:c>
      <x:c r="B25" s="12" t="n">
        <x:v>6</x:v>
      </x:c>
      <x:c r="C25" s="12" t="n">
        <x:v>0.05</x:v>
      </x:c>
      <x:c r="D25" s="12" t="n">
        <x:v>1</x:v>
      </x:c>
      <x:c r="E25" s="12" t="n">
        <x:v>0</x:v>
      </x:c>
      <x:c r="F25" s="12" t="n">
        <x:v>3850.568546443298</x:v>
      </x:c>
      <x:c r="G25" s="12" t="n">
        <x:v>0.04492177858312807</x:v>
      </x:c>
      <x:c r="H25" s="12" t="n">
        <x:v>0.3432728327163569</x:v>
      </x:c>
      <x:c r="I25" s="12" t="n">
        <x:v>3.495320333134536e-19</x:v>
      </x:c>
      <x:c r="J25" s="12" t="str">
        <x:v>PASS</x:v>
      </x:c>
      <x:c r="K25" s="12"/>
      <x:c r="L25" s="12"/>
      <x:c r="M25" s="12"/>
    </x:row>
    <x:row r="26" ht="15" hidden="0" customHeight="1">
      <x:c r="A26" s="12" t="n">
        <x:v>7</x:v>
      </x:c>
      <x:c r="B26" s="12" t="n">
        <x:v>5</x:v>
      </x:c>
      <x:c r="C26" s="12" t="n">
        <x:v>0.05</x:v>
      </x:c>
      <x:c r="D26" s="12" t="n">
        <x:v>1</x:v>
      </x:c>
      <x:c r="E26" s="12" t="n">
        <x:v>0</x:v>
      </x:c>
      <x:c r="F26" s="12" t="n">
        <x:v>3871.772321275099</x:v>
      </x:c>
      <x:c r="G26" s="12" t="n">
        <x:v>0.1257443659780766</x:v>
      </x:c>
      <x:c r="H26" s="12" t="n">
        <x:v>0.446097039276887</x:v>
      </x:c>
      <x:c r="I26" s="12" t="n">
        <x:v>4.968420273148811e-19</x:v>
      </x:c>
      <x:c r="J26" s="12" t="str">
        <x:v>PASS</x:v>
      </x:c>
      <x:c r="K26" s="12"/>
      <x:c r="L26" s="12"/>
      <x:c r="M26" s="12"/>
    </x:row>
    <x:row r="27" ht="15" hidden="0" customHeight="1">
      <x:c r="A27" s="12" t="n">
        <x:v>8</x:v>
      </x:c>
      <x:c r="B27" s="12" t="n">
        <x:v>4</x:v>
      </x:c>
      <x:c r="C27" s="12" t="n">
        <x:v>0.05</x:v>
      </x:c>
      <x:c r="D27" s="12" t="n">
        <x:v>1</x:v>
      </x:c>
      <x:c r="E27" s="12" t="n">
        <x:v>0</x:v>
      </x:c>
      <x:c r="F27" s="12" t="n">
        <x:v>3892.9760961068996</x:v>
      </x:c>
      <x:c r="G27" s="12" t="n">
        <x:v>0.20423446315614857</x:v>
      </x:c>
      <x:c r="H27" s="12" t="n">
        <x:v>0.675130313765268</x:v>
      </x:c>
      <x:c r="I27" s="12" t="n">
        <x:v>8.664875183372035e-19</x:v>
      </x:c>
      <x:c r="J27" s="12" t="str">
        <x:v>PASS</x:v>
      </x:c>
      <x:c r="K27" s="12"/>
      <x:c r="L27" s="12"/>
      <x:c r="M27" s="12"/>
    </x:row>
    <x:row r="28" ht="15" hidden="0" customHeight="1">
      <x:c r="A28" s="12" t="n">
        <x:v>2</x:v>
      </x:c>
      <x:c r="B28" s="12" t="n">
        <x:v>10</x:v>
      </x:c>
      <x:c r="C28" s="12" t="n">
        <x:v>0.06</x:v>
      </x:c>
      <x:c r="D28" s="12" t="n">
        <x:v>1</x:v>
      </x:c>
      <x:c r="E28" s="12" t="n">
        <x:v>0</x:v>
      </x:c>
      <x:c r="F28" s="12" t="n">
        <x:v>3908.578689936691</x:v>
      </x:c>
      <x:c r="G28" s="12" t="n">
        <x:v>0.33440224287986553</x:v>
      </x:c>
      <x:c r="H28" s="12" t="n">
        <x:v>0.44712487358599906</x:v>
      </x:c>
      <x:c r="I28" s="12" t="n">
        <x:v>4.983791467725283e-19</x:v>
      </x:c>
      <x:c r="J28" s="12" t="str">
        <x:v>PASS</x:v>
      </x:c>
      <x:c r="K28" s="12"/>
      <x:c r="L28" s="12"/>
      <x:c r="M28" s="12"/>
    </x:row>
    <x:row r="29" ht="15" hidden="0" customHeight="1">
      <x:c r="A29" s="12" t="n">
        <x:v>3</x:v>
      </x:c>
      <x:c r="B29" s="12" t="n">
        <x:v>9</x:v>
      </x:c>
      <x:c r="C29" s="12" t="n">
        <x:v>0.06</x:v>
      </x:c>
      <x:c r="D29" s="12" t="n">
        <x:v>1</x:v>
      </x:c>
      <x:c r="E29" s="12" t="n">
        <x:v>0</x:v>
      </x:c>
      <x:c r="F29" s="12" t="n">
        <x:v>3929.782464768492</x:v>
      </x:c>
      <x:c r="G29" s="12" t="n">
        <x:v>0.25325639099381814</x:v>
      </x:c>
      <x:c r="H29" s="12" t="n">
        <x:v>0.4049780397737963</x:v>
      </x:c>
      <x:c r="I29" s="12" t="n">
        <x:v>4.363629357426542e-19</x:v>
      </x:c>
      <x:c r="J29" s="12" t="str">
        <x:v>PASS</x:v>
      </x:c>
      <x:c r="K29" s="12"/>
      <x:c r="L29" s="12"/>
      <x:c r="M29" s="12"/>
    </x:row>
  </x:sheetData>
  <x:mergeCells>
    <x:mergeCell ref="A1:J1"/>
    <x:mergeCell ref="A12:E12"/>
  </x:mergeCells>
  <x:pageMargins left="0.7" right="0.7" top="0.75" bottom="0.75" header="0.3" footer="0.3"/>
  <x:drawing xmlns:r="http://schemas.openxmlformats.org/officeDocument/2006/relationships" r:id="R098821bbd20d4090"/>
</x:worksheet>
</file>