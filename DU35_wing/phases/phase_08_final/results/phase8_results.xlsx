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6265f15fe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Overview" sheetId="1" r:id="Rfcbce82171654585"/>
    <x:sheet xmlns:r="http://schemas.openxmlformats.org/officeDocument/2006/relationships" name="Summary" sheetId="2" r:id="R02120b51a26b4c8e"/>
    <x:sheet xmlns:r="http://schemas.openxmlformats.org/officeDocument/2006/relationships" name="Design_Mass" sheetId="3" r:id="Rd84ad9eaac494ebf"/>
    <x:sheet xmlns:r="http://schemas.openxmlformats.org/officeDocument/2006/relationships" name="Loads_Modal" sheetId="4" r:id="R5e090b6fa3da4ba9"/>
    <x:sheet xmlns:r="http://schemas.openxmlformats.org/officeDocument/2006/relationships" name="Static_Buckling" sheetId="5" r:id="R78955ca84f3c42fa"/>
    <x:sheet xmlns:r="http://schemas.openxmlformats.org/officeDocument/2006/relationships" name="Fatigue" sheetId="6" r:id="R2ff2bf0cb33d4b53"/>
    <x:sheet xmlns:r="http://schemas.openxmlformats.org/officeDocument/2006/relationships" name="Station_Data" sheetId="7" r:id="R8a229340dc604a35"/>
    <x:sheet xmlns:r="http://schemas.openxmlformats.org/officeDocument/2006/relationships" name="Sources_Limits" sheetId="8" r:id="Rf9ab7fbc548940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"/>
    <x:numFmt numFmtId="201" formatCode="#,##0"/>
    <x:numFmt numFmtId="202" formatCode="#,##0.0"/>
    <x:numFmt numFmtId="203" formatCode="0.000000"/>
    <x:numFmt numFmtId="204" formatCode="0.0%"/>
    <x:numFmt numFmtId="205" formatCode="0%"/>
    <x:numFmt numFmtId="206" formatCode="0.00"/>
    <x:numFmt numFmtId="207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CF7"/>
      </x:patternFill>
    </x:fill>
    <x:fill>
      <x:patternFill patternType="solid">
        <x:fgColor rgb="FF2E75B6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15">
    <x:border/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D9E2EA"/>
      </x:top>
    </x:border>
    <x:border>
      <x:left style="medium">
        <x:color rgb="FF217346"/>
      </x:left>
      <x:top style="medium">
        <x:color rgb="FF217346"/>
      </x:top>
    </x:border>
    <x:border>
      <x:top style="medium">
        <x:color rgb="FF217346"/>
      </x:top>
    </x:border>
    <x:border>
      <x:right style="medium">
        <x:color rgb="FF217346"/>
      </x:right>
      <x:top style="medium">
        <x:color rgb="FF217346"/>
      </x:top>
    </x:border>
    <x:border>
      <x:left style="medium">
        <x:color rgb="FF217346"/>
      </x:left>
    </x:border>
    <x:border>
      <x:right style="medium">
        <x:color rgb="FF217346"/>
      </x:right>
    </x:border>
    <x:border>
      <x:left style="medium">
        <x:color rgb="FF217346"/>
      </x:left>
      <x:bottom style="medium">
        <x:color rgb="FF217346"/>
      </x:bottom>
    </x:border>
    <x:border>
      <x:bottom style="medium">
        <x:color rgb="FF217346"/>
      </x:bottom>
    </x:border>
    <x:border>
      <x:right style="medium">
        <x:color rgb="FF217346"/>
      </x:right>
      <x:bottom style="medium">
        <x:color rgb="FF217346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5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4" xfId="0" applyNumberFormat="1" applyFont="1" applyFill="1" applyBorder="1" applyAlignment="1">
      <x:alignment vertical="center" wrapText="1"/>
    </x:xf>
    <x:xf numFmtId="201" fontId="4" fillId="5" borderId="6" xfId="0" applyNumberFormat="1" applyFont="1" applyFill="1" applyBorder="1" applyAlignment="1">
      <x:alignment vertical="center"/>
    </x:xf>
    <x:xf numFmtId="202" fontId="4" fillId="5" borderId="4" xfId="0" applyNumberFormat="1" applyFont="1" applyFill="1" applyBorder="1" applyAlignment="1">
      <x:alignment vertical="center"/>
    </x:xf>
    <x:xf numFmtId="202" fontId="4" fillId="5" borderId="5" xfId="0" applyNumberFormat="1" applyFont="1" applyFill="1" applyBorder="1" applyAlignment="1">
      <x:alignment vertical="center"/>
    </x:xf>
    <x:xf numFmtId="203" fontId="4" fillId="5" borderId="5" xfId="0" applyNumberFormat="1" applyFont="1" applyFill="1" applyBorder="1" applyAlignment="1">
      <x:alignment vertical="center"/>
    </x:xf>
    <x:xf numFmtId="204" fontId="4" fillId="5" borderId="6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200" fontId="6" fillId="3" borderId="5" xfId="0" applyNumberFormat="1" applyFont="1" applyFill="1" applyBorder="1" applyAlignment="1">
      <x:alignment vertical="center"/>
    </x:xf>
    <x:xf numFmtId="205" fontId="4" fillId="5" borderId="4" xfId="0" applyNumberFormat="1" applyFont="1" applyFill="1" applyBorder="1" applyAlignment="1">
      <x:alignment vertical="center"/>
    </x:xf>
    <x:xf numFmtId="205" fontId="4" fillId="5" borderId="5" xfId="0" applyNumberFormat="1" applyFont="1" applyFill="1" applyBorder="1" applyAlignment="1">
      <x:alignment vertical="center"/>
    </x:xf>
    <x:xf numFmtId="205" fontId="4" fillId="5" borderId="6" xfId="0" applyNumberFormat="1" applyFont="1" applyFill="1" applyBorder="1" applyAlignment="1">
      <x:alignment vertical="center"/>
    </x:xf>
    <x:xf numFmtId="206" fontId="4" fillId="5" borderId="4" xfId="0" applyNumberFormat="1" applyFont="1" applyFill="1" applyBorder="1" applyAlignment="1">
      <x:alignment vertical="center"/>
    </x:xf>
    <x:xf numFmtId="206" fontId="4" fillId="5" borderId="5" xfId="0" applyNumberFormat="1" applyFont="1" applyFill="1" applyBorder="1" applyAlignment="1">
      <x:alignment vertical="center"/>
    </x:xf>
    <x:xf numFmtId="206" fontId="4" fillId="5" borderId="6" xfId="0" applyNumberFormat="1" applyFont="1" applyFill="1" applyBorder="1" applyAlignment="1">
      <x:alignment vertical="center"/>
    </x:xf>
    <x:xf numFmtId="207" fontId="4" fillId="5" borderId="4" xfId="0" applyNumberFormat="1" applyFont="1" applyFill="1" applyBorder="1" applyAlignment="1">
      <x:alignment vertical="center"/>
    </x:xf>
    <x:xf numFmtId="207" fontId="4" fillId="5" borderId="5" xfId="0" applyNumberFormat="1" applyFont="1" applyFill="1" applyBorder="1" applyAlignment="1">
      <x:alignment vertical="center"/>
    </x:xf>
    <x:xf numFmtId="207" fontId="4" fillId="5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18">
    <x:dxf>
      <x:font>
        <x:b/>
        <x:color rgb="FF217346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17346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17346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17346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17346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17346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520d413604b25" /><Relationship Type="http://schemas.openxmlformats.org/officeDocument/2006/relationships/theme" Target="/xl/theme/theme1.xml" Id="R3342a8f19a2f43b3" /><Relationship Type="http://schemas.openxmlformats.org/officeDocument/2006/relationships/sharedStrings" Target="/xl/sharedStrings.xml" Id="R3bb6833f2d944804" /><Relationship Type="http://schemas.openxmlformats.org/officeDocument/2006/relationships/worksheet" Target="/xl/worksheets/sheet1.xml" Id="Rfcbce82171654585" /><Relationship Type="http://schemas.openxmlformats.org/officeDocument/2006/relationships/worksheet" Target="/xl/worksheets/sheet2.xml" Id="R02120b51a26b4c8e" /><Relationship Type="http://schemas.openxmlformats.org/officeDocument/2006/relationships/worksheet" Target="/xl/worksheets/sheet3.xml" Id="Rd84ad9eaac494ebf" /><Relationship Type="http://schemas.openxmlformats.org/officeDocument/2006/relationships/worksheet" Target="/xl/worksheets/sheet4.xml" Id="R5e090b6fa3da4ba9" /><Relationship Type="http://schemas.openxmlformats.org/officeDocument/2006/relationships/worksheet" Target="/xl/worksheets/sheet5.xml" Id="R78955ca84f3c42fa" /><Relationship Type="http://schemas.openxmlformats.org/officeDocument/2006/relationships/worksheet" Target="/xl/worksheets/sheet6.xml" Id="R2ff2bf0cb33d4b53" /><Relationship Type="http://schemas.openxmlformats.org/officeDocument/2006/relationships/worksheet" Target="/xl/worksheets/sheet7.xml" Id="R8a229340dc604a35" /><Relationship Type="http://schemas.openxmlformats.org/officeDocument/2006/relationships/worksheet" Target="/xl/worksheets/sheet8.xml" Id="Rf9ab7fbc548940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d6009c788c426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6654189632e4db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a381d5c941043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Web face fatigue sensitivity (target D20 ≤ 0.70)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D20</c:v>
          </c:tx>
          <c:cat>
            <c:strRef>
              <c:f>'Summary'!$G$6:$G$11</c:f>
              <c:strCache>
                <c:ptCount val="0"/>
              </c:strCache>
            </c:strRef>
          </c:cat>
          <c:val>
            <c:numRef>
              <c:f>'Summary'!$H$6:$H$11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8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Root moment envelope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Root moment, MNm</c:v>
          </c:tx>
          <c:cat>
            <c:strRef>
              <c:f>'Loads_Modal'!$H$6:$H$9</c:f>
              <c:strCache>
                <c:ptCount val="0"/>
              </c:strCache>
            </c:strRef>
          </c:cat>
          <c:val>
            <c:numRef>
              <c:f>'Loads_Modal'!$I$6:$I$9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Spanwise deflection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Operating</c:v>
          </c:tx>
          <c:marker>
            <c:symbol val="none"/>
          </c:marker>
          <c:cat>
            <c:strRef>
              <c:f>'Station_Data'!$A$5:$A$23</c:f>
              <c:strCache>
                <c:ptCount val="0"/>
              </c:strCache>
            </c:strRef>
          </c:cat>
          <c:val>
            <c:numRef>
              <c:f>'Station_Data'!$E$5:$E$23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Parked fault</c:v>
          </c:tx>
          <c:marker>
            <c:symbol val="none"/>
          </c:marker>
          <c:cat>
            <c:strRef>
              <c:f>'Station_Data'!$A$5:$A$23</c:f>
              <c:strCache>
                <c:ptCount val="0"/>
              </c:strCache>
            </c:strRef>
          </c:cat>
          <c:val>
            <c:numRef>
              <c:f>'Station_Data'!$F$5:$F$23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5.5 m limit</c:v>
          </c:tx>
          <c:marker>
            <c:symbol val="none"/>
          </c:marker>
          <c:cat>
            <c:strRef>
              <c:f>'Station_Data'!$A$5:$A$23</c:f>
              <c:strCache>
                <c:ptCount val="0"/>
              </c:strCache>
            </c:strRef>
          </c:cat>
          <c:val>
            <c:numRef>
              <c:f>'Station_Data'!$G$5:$G$23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d6009c788c426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654189632e4db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381d5c941043f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7e69d98894a47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ee33cd7c27204c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66fdf8fea2d24e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24" hidden="0" customWidth="1"/>
    <x:col min="4" max="4" width="27" hidden="0" customWidth="1"/>
    <x:col min="5" max="5" width="30" hidden="0" customWidth="1"/>
    <x:col min="6" max="6" width="3" hidden="0" customWidth="1"/>
    <x:col min="7" max="7" width="27" hidden="0" customWidth="1"/>
    <x:col min="8" max="8" width="29" hidden="0" customWidth="1"/>
    <x:col min="9" max="9" width="16" hidden="0" customWidth="1"/>
    <x:col min="10" max="10" width="70" hidden="0" customWidth="1"/>
  </x:cols>
  <x:sheetData>
    <x:row r="1" ht="30" customHeight="1">
      <x:c r="A1" s="3" t="str">
        <x:v>NREL 5 MW BLADE — FINAL PROJECT OVERVIEW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Authoritative screening results, CAD lineage and review assets.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9" t="str">
        <x:v>Final engineering decision</x:v>
      </x:c>
      <x:c r="B4" s="9"/>
      <x:c r="C4" s="9"/>
      <x:c r="D4" s="9"/>
      <x:c r="E4" s="9"/>
      <x:c r="F4" s="9"/>
      <x:c r="G4" s="9"/>
      <x:c r="H4" s="9"/>
      <x:c r="I4" s="9"/>
      <x:c r="J4" s="9"/>
    </x:row>
    <x:row r="5">
      <x:c r="A5" s="17" t="str">
        <x:v>Criterion</x:v>
      </x:c>
      <x:c r="B5" s="18" t="str">
        <x:v>Result</x:v>
      </x:c>
      <x:c r="C5" s="18" t="str">
        <x:v>Limit</x:v>
      </x:c>
      <x:c r="D5" s="18" t="str">
        <x:v>Margin</x:v>
      </x:c>
      <x:c r="E5" s="19" t="str">
        <x:v>Status</x:v>
      </x:c>
      <x:c r="G5" s="9" t="str">
        <x:v>Reproducibility status</x:v>
      </x:c>
      <x:c r="H5" s="9"/>
      <x:c r="I5" s="9"/>
      <x:c r="J5" s="9"/>
    </x:row>
    <x:row r="6">
      <x:c r="A6" s="25" t="str">
        <x:v>Minimum static RF</x:v>
      </x:c>
      <x:c r="B6" s="28" t="n">
        <x:f>'Summary'!B6</x:f>
        <x:v>2.054574665541518</x:v>
      </x:c>
      <x:c r="C6" s="28" t="n">
        <x:f>'Summary'!C6</x:f>
        <x:v>1</x:v>
      </x:c>
      <x:c r="D6" s="28" t="n">
        <x:f>'Summary'!D6</x:f>
        <x:v>1.054574665541518</x:v>
      </x:c>
      <x:c r="E6" s="25" t="str">
        <x:f>'Summary'!E6</x:f>
        <x:v>PASS</x:v>
      </x:c>
      <x:c r="G6" s="17" t="str">
        <x:v>Check group</x:v>
      </x:c>
      <x:c r="H6" s="18" t="str">
        <x:v>Result</x:v>
      </x:c>
      <x:c r="I6" s="18" t="str">
        <x:v>Status</x:v>
      </x:c>
      <x:c r="J6" s="19" t="str">
        <x:v>Command / evidence</x:v>
      </x:c>
    </x:row>
    <x:row r="7">
      <x:c r="A7" s="26" t="str">
        <x:v>Minimum buckling RF</x:v>
      </x:c>
      <x:c r="B7" s="29" t="n">
        <x:f>'Summary'!B7</x:f>
        <x:v>2.645366199572317</x:v>
      </x:c>
      <x:c r="C7" s="29" t="n">
        <x:f>'Summary'!C7</x:f>
        <x:v>1</x:v>
      </x:c>
      <x:c r="D7" s="29" t="n">
        <x:f>'Summary'!D7</x:f>
        <x:v>1.645366199572317</x:v>
      </x:c>
      <x:c r="E7" s="26" t="str">
        <x:f>'Summary'!E7</x:f>
        <x:v>PASS</x:v>
      </x:c>
      <x:c r="G7" s="25" t="str">
        <x:v>Engineering verification suites</x:v>
      </x:c>
      <x:c r="H7" s="25" t="str">
        <x:v>156/156</x:v>
      </x:c>
      <x:c r="I7" s="25" t="str">
        <x:v>PASS</x:v>
      </x:c>
      <x:c r="J7" s="25" t="str">
        <x:v>scripts/verify_all.ps1</x:v>
      </x:c>
    </x:row>
    <x:row r="8">
      <x:c r="A8" s="26" t="str">
        <x:v>Parked-fault tip deflection, m</x:v>
      </x:c>
      <x:c r="B8" s="29" t="n">
        <x:f>'Summary'!B8</x:f>
        <x:v>4.8155514832732065</x:v>
      </x:c>
      <x:c r="C8" s="29" t="n">
        <x:f>'Summary'!C8</x:f>
        <x:v>5.5</x:v>
      </x:c>
      <x:c r="D8" s="29" t="n">
        <x:f>'Summary'!D8</x:f>
        <x:v>0.6844485167267935</x:v>
      </x:c>
      <x:c r="E8" s="26" t="str">
        <x:f>'Summary'!E8</x:f>
        <x:v>PASS</x:v>
      </x:c>
      <x:c r="G8" s="26" t="str">
        <x:v>Historical Day 2–4 session tests</x:v>
      </x:c>
      <x:c r="H8" s="26" t="str">
        <x:v>21/21</x:v>
      </x:c>
      <x:c r="I8" s="26" t="str">
        <x:v>PASS</x:v>
      </x:c>
      <x:c r="J8" s="26" t="str">
        <x:v>run_session_tests.py</x:v>
      </x:c>
    </x:row>
    <x:row r="9">
      <x:c r="A9" s="26" t="str">
        <x:v>First flap frequency, Hz</x:v>
      </x:c>
      <x:c r="B9" s="29" t="n">
        <x:f>'Summary'!B9</x:f>
        <x:v>1.4222412595183074</x:v>
      </x:c>
      <x:c r="C9" s="29" t="n">
        <x:f>'Summary'!C9</x:f>
        <x:v>0.7272</x:v>
      </x:c>
      <x:c r="D9" s="29" t="n">
        <x:f>'Summary'!D9</x:f>
        <x:v>0.6950412595183074</x:v>
      </x:c>
      <x:c r="E9" s="26" t="str">
        <x:f>'Summary'!E9</x:f>
        <x:v>PASS</x:v>
      </x:c>
      <x:c r="G9" s="27" t="str">
        <x:v>CAD phase-lineage guard</x:v>
      </x:c>
      <x:c r="H9" s="27" t="str">
        <x:v>4/4 (included above)</x:v>
      </x:c>
      <x:c r="I9" s="27" t="str">
        <x:v>PASS</x:v>
      </x:c>
      <x:c r="J9" s="27" t="str">
        <x:v>verify/verify_cad_lineage.py</x:v>
      </x:c>
    </x:row>
    <x:row r="10">
      <x:c r="A10" s="27" t="str">
        <x:v>Worst 20-year fatigue damage D20</x:v>
      </x:c>
      <x:c r="B10" s="30" t="n">
        <x:f>'Summary'!B10</x:f>
        <x:v>0.6928719334586165</x:v>
      </x:c>
      <x:c r="C10" s="30" t="n">
        <x:f>'Summary'!C10</x:f>
        <x:v>0.7</x:v>
      </x:c>
      <x:c r="D10" s="30" t="n">
        <x:f>'Summary'!D10</x:f>
        <x:v>0.0071280665413834265</x:v>
      </x:c>
      <x:c r="E10" s="27" t="str">
        <x:f>'Summary'!E10</x:f>
        <x:v>PASS</x:v>
      </x:c>
    </x:row>
    <x:row r="11">
      <x:c r="G11" s="9" t="str">
        <x:v>Authoritative CAD and visual assets</x:v>
      </x:c>
      <x:c r="H11" s="9"/>
      <x:c r="I11" s="9"/>
      <x:c r="J11" s="9"/>
    </x:row>
    <x:row r="12">
      <x:c r="A12" s="9" t="str">
        <x:v>Final design definition</x:v>
      </x:c>
      <x:c r="B12" s="9"/>
      <x:c r="C12" s="9"/>
      <x:c r="D12" s="9"/>
      <x:c r="E12" s="9"/>
      <x:c r="G12" s="17" t="str">
        <x:v>Artifact</x:v>
      </x:c>
      <x:c r="H12" s="18" t="str">
        <x:v>Role</x:v>
      </x:c>
      <x:c r="I12" s="18" t="str">
        <x:v>Status</x:v>
      </x:c>
      <x:c r="J12" s="19" t="str">
        <x:v>Repository path</x:v>
      </x:c>
    </x:row>
    <x:row r="13" ht="34" customHeight="1">
      <x:c r="A13" s="17" t="str">
        <x:v>Component</x:v>
      </x:c>
      <x:c r="B13" s="18" t="str">
        <x:v>Final definition</x:v>
      </x:c>
      <x:c r="C13" s="18" t="str">
        <x:v>Changed in Phase 8</x:v>
      </x:c>
      <x:c r="D13" s="18" t="str">
        <x:v>Decision role</x:v>
      </x:c>
      <x:c r="E13" s="19" t="str">
        <x:v>Source</x:v>
      </x:c>
      <x:c r="G13" s="31" t="str">
        <x:v>DU35 annotated section</x:v>
      </x:c>
      <x:c r="H13" s="31" t="str">
        <x:v>Local geometry / panel dimensions</x:v>
      </x:c>
      <x:c r="I13" s="31" t="str">
        <x:v>REFERENCE</x:v>
      </x:c>
      <x:c r="J13" s="31" t="str">
        <x:v>sessions/day03_sandwich_panels/cad/DU35_BoxSpar_2Web_v2_Sandwich_Annotated.FCStd</x:v>
      </x:c>
    </x:row>
    <x:row r="14" ht="34" customHeight="1">
      <x:c r="A14" s="31" t="str">
        <x:v>Spar caps</x:v>
      </x:c>
      <x:c r="B14" s="31" t="str">
        <x:v>E-LT-5500 UD glass; source schedule</x:v>
      </x:c>
      <x:c r="C14" s="31" t="str">
        <x:v>No</x:v>
      </x:c>
      <x:c r="D14" s="31" t="str">
        <x:v>Static / deflection</x:v>
      </x:c>
      <x:c r="E14" s="31" t="str">
        <x:v>data/layup_schedule.csv</x:v>
      </x:c>
      <x:c r="G14" s="32" t="str">
        <x:v>Full blade v3</x:v>
      </x:c>
      <x:c r="H14" s="32" t="str">
        <x:v>Static reinforcement decision</x:v>
      </x:c>
      <x:c r="I14" s="32" t="str">
        <x:v>HISTORY</x:v>
      </x:c>
      <x:c r="J14" s="32" t="str">
        <x:v>sessions/day04_full_blade/cad/NREL5MW_61p5m_CADBasedBlade_v3_ReinforcedWebs.FCStd</x:v>
      </x:c>
    </x:row>
    <x:row r="15" ht="34" customHeight="1">
      <x:c r="A15" s="32" t="str">
        <x:v>Forward web</x:v>
      </x:c>
      <x:c r="B15" s="32" t="str">
        <x:v>5 DB layers/side + 60 mm H100</x:v>
      </x:c>
      <x:c r="C15" s="32" t="str">
        <x:v>No</x:v>
      </x:c>
      <x:c r="D15" s="32" t="str">
        <x:v>Robust fatigue closure</x:v>
      </x:c>
      <x:c r="E15" s="32" t="str">
        <x:v>FreeCAD v5/v6</x:v>
      </x:c>
      <x:c r="G15" s="32" t="str">
        <x:v>Full blade v5</x:v>
      </x:c>
      <x:c r="H15" s="32" t="str">
        <x:v>Robust fatigue closure</x:v>
      </x:c>
      <x:c r="I15" s="32" t="str">
        <x:v>HISTORY</x:v>
      </x:c>
      <x:c r="J15" s="32" t="str">
        <x:v>sessions/day05_phase7_fatigue/cad/NREL5MW_61p5m_CADBasedBlade_v5_RobustFatigueClosed.FCStd</x:v>
      </x:c>
    </x:row>
    <x:row r="16" ht="34" customHeight="1">
      <x:c r="A16" s="32" t="str">
        <x:v>Aft web</x:v>
      </x:c>
      <x:c r="B16" s="32" t="str">
        <x:v>6 DB layers/side + 60 mm H100</x:v>
      </x:c>
      <x:c r="C16" s="32" t="str">
        <x:v>No</x:v>
      </x:c>
      <x:c r="D16" s="32" t="str">
        <x:v>Governing fatigue web</x:v>
      </x:c>
      <x:c r="E16" s="32" t="str">
        <x:v>FreeCAD v5/v6</x:v>
      </x:c>
      <x:c r="G16" s="32" t="str">
        <x:v>Full blade v6</x:v>
      </x:c>
      <x:c r="H16" s="32" t="str">
        <x:v>Final integrated screening baseline</x:v>
      </x:c>
      <x:c r="I16" s="32" t="str">
        <x:v>AUTHORITATIVE</x:v>
      </x:c>
      <x:c r="J16" s="32" t="str">
        <x:v>sessions/day06_phase8_final/cad/NREL5MW_61p5m_CADBasedBlade_v6_FinalIntegrated.FCStd</x:v>
      </x:c>
    </x:row>
    <x:row r="17" ht="34" customHeight="1">
      <x:c r="A17" s="33" t="str">
        <x:v>Aero geometry / web positions</x:v>
      </x:c>
      <x:c r="B17" s="33" t="str">
        <x:v>Unchanged</x:v>
      </x:c>
      <x:c r="C17" s="33" t="str">
        <x:v>No</x:v>
      </x:c>
      <x:c r="D17" s="33" t="str">
        <x:v>Frozen CAD-based geometry</x:v>
      </x:c>
      <x:c r="E17" s="33" t="str">
        <x:v>SAND2013-2569 / NREL</x:v>
      </x:c>
      <x:c r="G17" s="32" t="str">
        <x:v>DU35 section PNG</x:v>
      </x:c>
      <x:c r="H17" s="32" t="str">
        <x:v>Dimensioned section visual</x:v>
      </x:c>
      <x:c r="I17" s="32" t="str">
        <x:v>READY</x:v>
      </x:c>
      <x:c r="J17" s="32" t="str">
        <x:v>results/final/presentation_assets/cad_du35_annotated_section.png</x:v>
      </x:c>
    </x:row>
    <x:row r="18" ht="34" customHeight="1">
      <x:c r="G18" s="32" t="str">
        <x:v>v5 fatigue PNG</x:v>
      </x:c>
      <x:c r="H18" s="32" t="str">
        <x:v>Fatigue architecture visual</x:v>
      </x:c>
      <x:c r="I18" s="32" t="str">
        <x:v>READY</x:v>
      </x:c>
      <x:c r="J18" s="32" t="str">
        <x:v>results/final/presentation_assets/cad_v5_fatigue_closure_axon.png</x:v>
      </x:c>
    </x:row>
    <x:row r="19" ht="34" customHeight="1">
      <x:c r="A19" s="53" t="str">
        <x:v>FINAL DECISION: the full-scale v6 blade passes the agreed research/screening criteria with zero open FAIL. Governing result is web-face fatigue D20 = 0.692872 against the adopted 0.70 target. This is not an IEC/GL certification package.</x:v>
      </x:c>
      <x:c r="B19" s="54"/>
      <x:c r="C19" s="54"/>
      <x:c r="D19" s="54"/>
      <x:c r="E19" s="55"/>
      <x:c r="G19" s="32" t="str">
        <x:v>v6 final PNG</x:v>
      </x:c>
      <x:c r="H19" s="32" t="str">
        <x:v>Final architecture visual</x:v>
      </x:c>
      <x:c r="I19" s="32" t="str">
        <x:v>READY</x:v>
      </x:c>
      <x:c r="J19" s="32" t="str">
        <x:v>results/final/presentation_assets/cad_v6_final_structure_axon.png</x:v>
      </x:c>
    </x:row>
    <x:row r="20" ht="34" customHeight="1">
      <x:c r="A20" s="56"/>
      <x:c r="B20" s="57"/>
      <x:c r="C20" s="57"/>
      <x:c r="D20" s="57"/>
      <x:c r="E20" s="58"/>
      <x:c r="G20" s="33" t="str">
        <x:v>v6 rotation GIF</x:v>
      </x:c>
      <x:c r="H20" s="33" t="str">
        <x:v>Exact FreeCAD model rotation</x:v>
      </x:c>
      <x:c r="I20" s="33" t="str">
        <x:v>READY</x:v>
      </x:c>
      <x:c r="J20" s="33" t="str">
        <x:v>results/final/presentation_assets/cad_v6_final_rotation.gif</x:v>
      </x:c>
    </x:row>
    <x:row r="21">
      <x:c r="A21" s="59"/>
      <x:c r="B21" s="60"/>
      <x:c r="C21" s="60"/>
      <x:c r="D21" s="60"/>
      <x:c r="E21" s="61"/>
    </x:row>
  </x:sheetData>
  <x:mergeCells>
    <x:mergeCell ref="A1:J1"/>
    <x:mergeCell ref="A2:J2"/>
    <x:mergeCell ref="A4:J4"/>
    <x:mergeCell ref="A12:E12"/>
    <x:mergeCell ref="G5:J5"/>
    <x:mergeCell ref="G11:J11"/>
    <x:mergeCell ref="A19:E21"/>
  </x:mergeCells>
  <x:conditionalFormatting sqref="E6:E1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INFO"/>
  </x:conditionalFormatting>
  <x:conditionalFormatting sqref="I7:I9">
    <x:cfRule type="containsText" dxfId="3" priority="4" operator="containsText" text="PASS"/>
    <x:cfRule type="containsText" dxfId="4" priority="5" operator="containsText" text="FAIL"/>
    <x:cfRule type="containsText" dxfId="5" priority="6" operator="containsText" text="INF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9" hidden="0" customWidth="1"/>
    <x:col min="5" max="5" width="13" hidden="0" customWidth="1"/>
    <x:col min="6" max="6" width="3" hidden="0" customWidth="1"/>
    <x:col min="7" max="7" width="28" hidden="0" customWidth="1"/>
    <x:col min="8" max="8" width="12" hidden="0" customWidth="1"/>
  </x:cols>
  <x:sheetData>
    <x:row r="1" ht="30" customHeight="1">
      <x:c r="A1" s="3" t="str">
        <x:v>PHASE 8 — FINAL INTEGRATED SCREENING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6" t="str">
        <x:v>NREL 5 MW, 61.5 m blade · beam/shell-equivalent · research-level, not certification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9" t="str">
        <x:v>Decision dashboard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</x:row>
    <x:row r="5">
      <x:c r="A5" s="17" t="str">
        <x:v>Criterion</x:v>
      </x:c>
      <x:c r="B5" s="18" t="str">
        <x:v>Result</x:v>
      </x:c>
      <x:c r="C5" s="18" t="str">
        <x:v>Limit</x:v>
      </x:c>
      <x:c r="D5" s="18" t="str">
        <x:v>Margin</x:v>
      </x:c>
      <x:c r="E5" s="19" t="str">
        <x:v>Status</x:v>
      </x:c>
      <x:c r="G5" s="17" t="str">
        <x:v>Fatigue case</x:v>
      </x:c>
      <x:c r="H5" s="19" t="str">
        <x:v>D20</x:v>
      </x:c>
    </x:row>
    <x:row r="6">
      <x:c r="A6" s="25" t="str">
        <x:v>Minimum static RF</x:v>
      </x:c>
      <x:c r="B6" s="28" t="n">
        <x:f>MIN('Static_Buckling'!B6:B8)</x:f>
        <x:v>2.054574665541518</x:v>
      </x:c>
      <x:c r="C6" s="28" t="n">
        <x:v>1</x:v>
      </x:c>
      <x:c r="D6" s="28" t="n">
        <x:f>B6-C6</x:f>
        <x:v>1.054574665541518</x:v>
      </x:c>
      <x:c r="E6" s="25" t="str">
        <x:f>IF(B6&gt;=C6,"PASS","FAIL")</x:f>
        <x:v>PASS</x:v>
      </x:c>
      <x:c r="G6" s="25" t="str">
        <x:v>nominal b10 split0</x:v>
      </x:c>
      <x:c r="H6" s="28" t="n">
        <x:v>0.05525279164532104</x:v>
      </x:c>
    </x:row>
    <x:row r="7">
      <x:c r="A7" s="26" t="str">
        <x:v>Minimum buckling RF</x:v>
      </x:c>
      <x:c r="B7" s="29" t="n">
        <x:f>MIN('Static_Buckling'!B11:B12)</x:f>
        <x:v>2.645366199572317</x:v>
      </x:c>
      <x:c r="C7" s="29" t="n">
        <x:v>1</x:v>
      </x:c>
      <x:c r="D7" s="29" t="n">
        <x:f>B7-C7</x:f>
        <x:v>1.645366199572317</x:v>
      </x:c>
      <x:c r="E7" s="26" t="str">
        <x:f>IF(B7&gt;=C7,"PASS","FAIL")</x:f>
        <x:v>PASS</x:v>
      </x:c>
      <x:c r="G7" s="26" t="str">
        <x:v>b9 split0</x:v>
      </x:c>
      <x:c r="H7" s="29" t="n">
        <x:v>0.29384533681693864</x:v>
      </x:c>
    </x:row>
    <x:row r="8">
      <x:c r="A8" s="26" t="str">
        <x:v>Parked-fault tip deflection, m</x:v>
      </x:c>
      <x:c r="B8" s="29" t="n">
        <x:f>'Loads_Modal'!E8</x:f>
        <x:v>4.8155514832732065</x:v>
      </x:c>
      <x:c r="C8" s="29" t="n">
        <x:v>5.5</x:v>
      </x:c>
      <x:c r="D8" s="29" t="n">
        <x:f>C8-B8</x:f>
        <x:v>0.6844485167267935</x:v>
      </x:c>
      <x:c r="E8" s="26" t="str">
        <x:f>IF(B8&lt;=C8,"PASS","FAIL")</x:f>
        <x:v>PASS</x:v>
      </x:c>
      <x:c r="G8" s="26" t="str">
        <x:v>b10 split minus10</x:v>
      </x:c>
      <x:c r="H8" s="29" t="n">
        <x:v>0.13684470304494784</x:v>
      </x:c>
    </x:row>
    <x:row r="9">
      <x:c r="A9" s="26" t="str">
        <x:v>First flap frequency, Hz</x:v>
      </x:c>
      <x:c r="B9" s="29" t="n">
        <x:f>'Loads_Modal'!C14</x:f>
        <x:v>1.4222412595183074</x:v>
      </x:c>
      <x:c r="C9" s="29" t="n">
        <x:v>0.7272</x:v>
      </x:c>
      <x:c r="D9" s="29" t="n">
        <x:f>B9-C9</x:f>
        <x:v>0.6950412595183074</x:v>
      </x:c>
      <x:c r="E9" s="26" t="str">
        <x:f>IF(B9&gt;=C9,"PASS","FAIL")</x:f>
        <x:v>PASS</x:v>
      </x:c>
      <x:c r="G9" s="26" t="str">
        <x:v>b10 split plus10</x:v>
      </x:c>
      <x:c r="H9" s="29" t="n">
        <x:v>0.14331151172952747</x:v>
      </x:c>
    </x:row>
    <x:row r="10">
      <x:c r="A10" s="27" t="str">
        <x:v>Worst 20-year fatigue damage D20</x:v>
      </x:c>
      <x:c r="B10" s="30" t="n">
        <x:f>MAX('Fatigue'!F6:F11)</x:f>
        <x:v>0.6928719334586165</x:v>
      </x:c>
      <x:c r="C10" s="30" t="n">
        <x:v>0.7</x:v>
      </x:c>
      <x:c r="D10" s="30" t="n">
        <x:f>C10-B10</x:f>
        <x:v>0.0071280665413834265</x:v>
      </x:c>
      <x:c r="E10" s="27" t="str">
        <x:f>IF(B10&lt;=C10,"PASS","FAIL")</x:f>
        <x:v>PASS</x:v>
      </x:c>
      <x:c r="G10" s="26" t="str">
        <x:v>b9 split minus10</x:v>
      </x:c>
      <x:c r="H10" s="29" t="n">
        <x:v>0.6646686456804617</x:v>
      </x:c>
    </x:row>
    <x:row r="11">
      <x:c r="G11" s="27" t="str">
        <x:v>b9 split plus10</x:v>
      </x:c>
      <x:c r="H11" s="30" t="n">
        <x:v>0.6928719334586165</x:v>
      </x:c>
    </x:row>
    <x:row r="12">
      <x:c r="A12" s="17" t="str">
        <x:v>Final design</x:v>
      </x:c>
      <x:c r="B12" s="18" t="str">
        <x:v>Value</x:v>
      </x:c>
      <x:c r="C12" s="18" t="str">
        <x:v>Unit</x:v>
      </x:c>
      <x:c r="D12" s="18" t="str">
        <x:v>Changed in Phase 8</x:v>
      </x:c>
      <x:c r="E12" s="19" t="str">
        <x:v>Basis</x:v>
      </x:c>
    </x:row>
    <x:row r="13">
      <x:c r="A13" s="25" t="str">
        <x:v>Forward web DB layers / side</x:v>
      </x:c>
      <x:c r="B13" s="25" t="n">
        <x:v>5</x:v>
      </x:c>
      <x:c r="C13" s="25" t="str">
        <x:v>layers</x:v>
      </x:c>
      <x:c r="D13" s="25" t="str">
        <x:v>No</x:v>
      </x:c>
      <x:c r="E13" s="25" t="str">
        <x:v>Phase 7 robust fatigue closure</x:v>
      </x:c>
    </x:row>
    <x:row r="14">
      <x:c r="A14" s="26" t="str">
        <x:v>Aft web DB layers / side</x:v>
      </x:c>
      <x:c r="B14" s="26" t="n">
        <x:v>6</x:v>
      </x:c>
      <x:c r="C14" s="26" t="str">
        <x:v>layers</x:v>
      </x:c>
      <x:c r="D14" s="26" t="str">
        <x:v>No</x:v>
      </x:c>
      <x:c r="E14" s="26" t="str">
        <x:v>Phase 7 robust fatigue closure</x:v>
      </x:c>
    </x:row>
    <x:row r="15">
      <x:c r="A15" s="26" t="str">
        <x:v>Web core thickness</x:v>
      </x:c>
      <x:c r="B15" s="26" t="n">
        <x:v>60</x:v>
      </x:c>
      <x:c r="C15" s="26" t="str">
        <x:v>mm</x:v>
      </x:c>
      <x:c r="D15" s="26" t="str">
        <x:v>No</x:v>
      </x:c>
      <x:c r="E15" s="26" t="str">
        <x:v>H100 sandwich screen</x:v>
      </x:c>
    </x:row>
    <x:row r="16">
      <x:c r="A16" s="27" t="str">
        <x:v>Final blade mass</x:v>
      </x:c>
      <x:c r="B16" s="62" t="n">
        <x:v>19614.38453516488</x:v>
      </x:c>
      <x:c r="C16" s="27" t="str">
        <x:v>kg</x:v>
      </x:c>
      <x:c r="D16" s="27" t="str">
        <x:v>Integrated</x:v>
      </x:c>
      <x:c r="E16" s="27" t="str">
        <x:v>Reference mass + explicit replacement deltas</x:v>
      </x:c>
    </x:row>
    <x:row r="18">
      <x:c r="A18" s="53" t="str">
        <x:v>FINAL DECISION: all integrated screening checks PASS. Governing fatigue case b=9 with A66h +10% gives D20 = 0.692872, leaving 0.007128 to the adopted 0.70 target. This is a reproducible research screen, not an IEC/GL certification package.</x:v>
      </x:c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5"/>
    </x:row>
    <x:row r="19">
      <x:c r="A19" s="56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8"/>
    </x:row>
    <x:row r="20">
      <x:c r="A20" s="59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1"/>
    </x:row>
  </x:sheetData>
  <x:mergeCells>
    <x:mergeCell ref="A1:N1"/>
    <x:mergeCell ref="A2:N2"/>
    <x:mergeCell ref="A4:N4"/>
    <x:mergeCell ref="A18:N20"/>
  </x:mergeCells>
  <x:conditionalFormatting sqref="E6:E10">
    <x:cfRule type="containsText" dxfId="6" priority="1" operator="containsText" text="PASS"/>
    <x:cfRule type="containsText" dxfId="7" priority="2" operator="containsText" text="FAIL"/>
    <x:cfRule type="containsText" dxfId="8" priority="3" operator="containsText" text="INFO"/>
  </x:conditionalFormatting>
  <x:pageMargins left="0.7" right="0.7" top="0.75" bottom="0.75" header="0.3" footer="0.3"/>
  <x:drawing xmlns:r="http://schemas.openxmlformats.org/officeDocument/2006/relationships" r:id="R67e69d98894a478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30" hidden="0" customWidth="1"/>
    <x:col min="4" max="4" width="44" hidden="0" customWidth="1"/>
  </x:cols>
  <x:sheetData>
    <x:row r="1" ht="30" customHeight="1">
      <x:c r="A1" s="3" t="str">
        <x:v>FINAL DESIGN &amp; MASS RECONCILIATION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Mass is a sanity-check metric; the raw source table is normalized to the reported 17,740 kg reference before explicit cap/web deltas.</x:v>
      </x:c>
      <x:c r="B2" s="6"/>
      <x:c r="C2" s="6"/>
      <x:c r="D2" s="6"/>
      <x:c r="E2" s="6"/>
      <x:c r="F2" s="6"/>
      <x:c r="G2" s="6"/>
      <x:c r="H2" s="6"/>
    </x:row>
    <x:row r="4">
      <x:c r="A4" s="9" t="str">
        <x:v>Configuration held for Gate 8</x:v>
      </x:c>
      <x:c r="B4" s="9"/>
      <x:c r="C4" s="9"/>
      <x:c r="D4" s="9"/>
      <x:c r="E4" s="9"/>
      <x:c r="F4" s="9"/>
      <x:c r="G4" s="9"/>
      <x:c r="H4" s="9"/>
    </x:row>
    <x:row r="5">
      <x:c r="A5" s="17" t="str">
        <x:v>Parameter</x:v>
      </x:c>
      <x:c r="B5" s="18" t="str">
        <x:v>Value</x:v>
      </x:c>
      <x:c r="C5" s="18" t="str">
        <x:v>Unit</x:v>
      </x:c>
      <x:c r="D5" s="19" t="str">
        <x:v>Notes</x:v>
      </x:c>
    </x:row>
    <x:row r="6">
      <x:c r="A6" s="25" t="str">
        <x:v>Blade length</x:v>
      </x:c>
      <x:c r="B6" s="25" t="n">
        <x:v>61.5</x:v>
      </x:c>
      <x:c r="C6" s="25" t="str">
        <x:v>m</x:v>
      </x:c>
      <x:c r="D6" s="25" t="str">
        <x:v>NREL 5 MW full-scale blade</x:v>
      </x:c>
    </x:row>
    <x:row r="7">
      <x:c r="A7" s="26" t="str">
        <x:v>Spar cap material</x:v>
      </x:c>
      <x:c r="B7" s="26" t="str">
        <x:v>E-LT-5500 UD glass</x:v>
      </x:c>
      <x:c r="C7" s="26" t="str">
        <x:v>—</x:v>
      </x:c>
      <x:c r="D7" s="26" t="str">
        <x:v>Glass cap retained</x:v>
      </x:c>
    </x:row>
    <x:row r="8">
      <x:c r="A8" s="26" t="str">
        <x:v>Forward web</x:v>
      </x:c>
      <x:c r="B8" s="26" t="n">
        <x:v>5</x:v>
      </x:c>
      <x:c r="C8" s="26" t="str">
        <x:v>DB layers/side</x:v>
      </x:c>
      <x:c r="D8" s="26" t="str">
        <x:v>One spanwise zone</x:v>
      </x:c>
    </x:row>
    <x:row r="9">
      <x:c r="A9" s="26" t="str">
        <x:v>Aft web</x:v>
      </x:c>
      <x:c r="B9" s="26" t="n">
        <x:v>6</x:v>
      </x:c>
      <x:c r="C9" s="26" t="str">
        <x:v>DB layers/side</x:v>
      </x:c>
      <x:c r="D9" s="26" t="str">
        <x:v>One spanwise zone</x:v>
      </x:c>
    </x:row>
    <x:row r="10">
      <x:c r="A10" s="26" t="str">
        <x:v>Web core</x:v>
      </x:c>
      <x:c r="B10" s="26" t="str">
        <x:v>Divinycell H100 equivalent</x:v>
      </x:c>
      <x:c r="C10" s="26" t="str">
        <x:v>—</x:v>
      </x:c>
      <x:c r="D10" s="26" t="str">
        <x:v>Source-class H100</x:v>
      </x:c>
    </x:row>
    <x:row r="11">
      <x:c r="A11" s="26" t="str">
        <x:v>Core thickness</x:v>
      </x:c>
      <x:c r="B11" s="26" t="n">
        <x:v>60</x:v>
      </x:c>
      <x:c r="C11" s="26" t="str">
        <x:v>mm</x:v>
      </x:c>
      <x:c r="D11" s="26" t="str">
        <x:v>Uniform</x:v>
      </x:c>
    </x:row>
    <x:row r="12">
      <x:c r="A12" s="26" t="str">
        <x:v>Aero geometry changed</x:v>
      </x:c>
      <x:c r="B12" s="26" t="n">
        <x:v>0</x:v>
      </x:c>
      <x:c r="C12" s="26" t="str">
        <x:v>0/1</x:v>
      </x:c>
      <x:c r="D12" s="26" t="str">
        <x:v>No</x:v>
      </x:c>
    </x:row>
    <x:row r="13">
      <x:c r="A13" s="26" t="str">
        <x:v>Web positions changed</x:v>
      </x:c>
      <x:c r="B13" s="26" t="n">
        <x:v>0</x:v>
      </x:c>
      <x:c r="C13" s="26" t="str">
        <x:v>0/1</x:v>
      </x:c>
      <x:c r="D13" s="26" t="str">
        <x:v>No</x:v>
      </x:c>
    </x:row>
    <x:row r="14">
      <x:c r="A14" s="27" t="str">
        <x:v>CAD model</x:v>
      </x:c>
      <x:c r="B14" s="27" t="str">
        <x:v>v6 FinalIntegrated</x:v>
      </x:c>
      <x:c r="C14" s="27" t="str">
        <x:v>FCStd</x:v>
      </x:c>
      <x:c r="D14" s="27" t="str">
        <x:v>Separate model based on v5</x:v>
      </x:c>
    </x:row>
    <x:row r="16">
      <x:c r="A16" s="9" t="str">
        <x:v>Mass reconciliation</x:v>
      </x:c>
      <x:c r="B16" s="9"/>
      <x:c r="C16" s="9"/>
      <x:c r="D16" s="9"/>
      <x:c r="E16" s="9"/>
      <x:c r="F16" s="9"/>
      <x:c r="G16" s="9"/>
      <x:c r="H16" s="9"/>
    </x:row>
    <x:row r="17">
      <x:c r="A17" s="17" t="str">
        <x:v>Item</x:v>
      </x:c>
      <x:c r="B17" s="18" t="str">
        <x:v>Value, kg</x:v>
      </x:c>
      <x:c r="C17" s="18" t="str">
        <x:v>Formula role</x:v>
      </x:c>
      <x:c r="D17" s="19" t="str">
        <x:v>Interpretation</x:v>
      </x:c>
    </x:row>
    <x:row r="18">
      <x:c r="A18" s="25" t="str">
        <x:v>Reported Sandia reference mass</x:v>
      </x:c>
      <x:c r="B18" s="63" t="n">
        <x:v>17740</x:v>
      </x:c>
      <x:c r="C18" s="25" t="str">
        <x:v>Base</x:v>
      </x:c>
      <x:c r="D18" s="25" t="str">
        <x:v>Authoritative whole-blade figure</x:v>
      </x:c>
    </x:row>
    <x:row r="19">
      <x:c r="A19" s="26" t="str">
        <x:v>Raw mass-table integral</x:v>
      </x:c>
      <x:c r="B19" s="64" t="n">
        <x:v>18973.223962</x:v>
      </x:c>
      <x:c r="C19" s="26" t="str">
        <x:v>Audit</x:v>
      </x:c>
      <x:c r="D19" s="26" t="str">
        <x:v>Distribution shape only</x:v>
      </x:c>
    </x:row>
    <x:row r="20">
      <x:c r="A20" s="26" t="str">
        <x:v>Normalization factor</x:v>
      </x:c>
      <x:c r="B20" s="65" t="n">
        <x:v>0.9350018760928597</x:v>
      </x:c>
      <x:c r="C20" s="26" t="str">
        <x:v>Reported/raw</x:v>
      </x:c>
      <x:c r="D20" s="26" t="str">
        <x:v>Applied to source spanwise shape</x:v>
      </x:c>
    </x:row>
    <x:row r="21">
      <x:c r="A21" s="26" t="str">
        <x:v>Cap replacement delta</x:v>
      </x:c>
      <x:c r="B21" s="64" t="n">
        <x:v>-87.43018077166562</x:v>
      </x:c>
      <x:c r="C21" s="26" t="str">
        <x:v>Final minus 7,000 kg budget</x:v>
      </x:c>
      <x:c r="D21" s="26" t="str">
        <x:v>Glass cap is slightly below budget</x:v>
      </x:c>
    </x:row>
    <x:row r="22">
      <x:c r="A22" s="26" t="str">
        <x:v>Web replacement delta</x:v>
      </x:c>
      <x:c r="B22" s="64" t="n">
        <x:v>1961.8147159365456</x:v>
      </x:c>
      <x:c r="C22" s="26" t="str">
        <x:v>v6 minus 2DB/50 mm baseline</x:v>
      </x:c>
      <x:c r="D22" s="26" t="str">
        <x:v>Robust fatigue reinforcement</x:v>
      </x:c>
    </x:row>
    <x:row r="23">
      <x:c r="A23" s="26" t="str">
        <x:v>Final v6 blade mass</x:v>
      </x:c>
      <x:c r="B23" s="64" t="n">
        <x:f>B18+B21+B22</x:f>
        <x:v>19614.38453516488</x:v>
      </x:c>
      <x:c r="C23" s="26" t="str">
        <x:v>Reference + cap delta + web delta</x:v>
      </x:c>
      <x:c r="D23" s="26" t="str">
        <x:v>Integrated screening mass</x:v>
      </x:c>
    </x:row>
    <x:row r="24">
      <x:c r="A24" s="27" t="str">
        <x:v>Delta vs reference</x:v>
      </x:c>
      <x:c r="B24" s="66" t="n">
        <x:f>B23/B18-1</x:f>
        <x:v>0.10565865474435632</x:v>
      </x:c>
      <x:c r="C24" s="27" t="str">
        <x:v>(Final/reference)-1</x:v>
      </x:c>
      <x:c r="D24" s="27" t="str">
        <x:v>INFO only</x:v>
      </x:c>
    </x:row>
  </x:sheetData>
  <x:mergeCells>
    <x:mergeCell ref="A1:H1"/>
    <x:mergeCell ref="A2:H2"/>
    <x:mergeCell ref="A4:H4"/>
    <x:mergeCell ref="A16:H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</x:cols>
  <x:sheetData>
    <x:row r="1" ht="30" customHeight="1">
      <x:c r="A1" s="3" t="str">
        <x:v>LOAD CASES, RESPONSE &amp; NATURAL FREQUENCIES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Factored operating, parked-fault and gravity cases re-run with reconciled v6 mass.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9" t="str">
        <x:v>Static load cases</x:v>
      </x:c>
      <x:c r="B4" s="9"/>
      <x:c r="C4" s="9"/>
      <x:c r="D4" s="9"/>
      <x:c r="E4" s="9"/>
      <x:c r="F4" s="9"/>
    </x:row>
    <x:row r="5">
      <x:c r="A5" s="17" t="str">
        <x:v>Load case</x:v>
      </x:c>
      <x:c r="B5" s="18" t="str">
        <x:v>Direction</x:v>
      </x:c>
      <x:c r="C5" s="18" t="str">
        <x:v>Root shear, kN</x:v>
      </x:c>
      <x:c r="D5" s="18" t="str">
        <x:v>Root moment, MNm</x:v>
      </x:c>
      <x:c r="E5" s="18" t="str">
        <x:v>Tip displacement, m</x:v>
      </x:c>
      <x:c r="F5" s="19" t="str">
        <x:v>Role</x:v>
      </x:c>
      <x:c r="H5" t="str">
        <x:v>Load case</x:v>
      </x:c>
      <x:c r="I5" t="str">
        <x:v>Root moment, MNm</x:v>
      </x:c>
    </x:row>
    <x:row r="6">
      <x:c r="A6" s="25" t="str">
        <x:v>U_op</x:v>
      </x:c>
      <x:c r="B6" s="25" t="str">
        <x:v>flap</x:v>
      </x:c>
      <x:c r="C6" s="28" t="n">
        <x:v>262.0802887841762</x:v>
      </x:c>
      <x:c r="D6" s="28" t="n">
        <x:v>10.14890197693841</x:v>
      </x:c>
      <x:c r="E6" s="28" t="n">
        <x:v>2.147331912075519</x:v>
      </x:c>
      <x:c r="F6" s="25" t="str">
        <x:v>Included</x:v>
      </x:c>
      <x:c r="H6" t="str">
        <x:v>U_op</x:v>
      </x:c>
      <x:c r="I6" t="n">
        <x:v>10.14890197693841</x:v>
      </x:c>
    </x:row>
    <x:row r="7">
      <x:c r="A7" s="26" t="str">
        <x:v>U_park_feather</x:v>
      </x:c>
      <x:c r="B7" s="26" t="str">
        <x:v>flap</x:v>
      </x:c>
      <x:c r="C7" s="29" t="n">
        <x:v>105.68707465794895</x:v>
      </x:c>
      <x:c r="D7" s="29" t="n">
        <x:v>1.1001764411794708</x:v>
      </x:c>
      <x:c r="E7" s="29" t="n">
        <x:v>0.05339700801893196</x:v>
      </x:c>
      <x:c r="F7" s="26" t="str">
        <x:v>Included</x:v>
      </x:c>
      <x:c r="H7" t="str">
        <x:v>U_park_feather</x:v>
      </x:c>
      <x:c r="I7" t="n">
        <x:v>1.1001764411794708</x:v>
      </x:c>
    </x:row>
    <x:row r="8">
      <x:c r="A8" s="26" t="str">
        <x:v>U_park_fault</x:v>
      </x:c>
      <x:c r="B8" s="26" t="str">
        <x:v>flap</x:v>
      </x:c>
      <x:c r="C8" s="29" t="n">
        <x:v>1055.769836315378</x:v>
      </x:c>
      <x:c r="D8" s="29" t="n">
        <x:v>31.20431870835877</x:v>
      </x:c>
      <x:c r="E8" s="29" t="n">
        <x:v>4.8155514832732065</x:v>
      </x:c>
      <x:c r="F8" s="26" t="str">
        <x:v>Governing deflection</x:v>
      </x:c>
      <x:c r="H8" t="str">
        <x:v>U_park_fault</x:v>
      </x:c>
      <x:c r="I8" t="n">
        <x:v>31.20431870835877</x:v>
      </x:c>
    </x:row>
    <x:row r="9">
      <x:c r="A9" s="27" t="str">
        <x:v>U_gravity_v6_mass</x:v>
      </x:c>
      <x:c r="B9" s="27" t="str">
        <x:v>edge</x:v>
      </x:c>
      <x:c r="C9" s="30" t="n">
        <x:v>259.67439553732726</x:v>
      </x:c>
      <x:c r="D9" s="30" t="n">
        <x:v>4.315812971600211</x:v>
      </x:c>
      <x:c r="E9" s="30" t="n">
        <x:v>0.27072966009897015</x:v>
      </x:c>
      <x:c r="F9" s="27" t="str">
        <x:v>Included</x:v>
      </x:c>
      <x:c r="H9" t="str">
        <x:v>U_gravity_v6_mass</x:v>
      </x:c>
      <x:c r="I9" t="n">
        <x:v>4.315812971600211</x:v>
      </x:c>
    </x:row>
    <x:row r="12">
      <x:c r="A12" s="9" t="str">
        <x:v>Modal screen</x:v>
      </x:c>
      <x:c r="B12" s="9"/>
      <x:c r="C12" s="9"/>
      <x:c r="D12" s="9"/>
      <x:c r="E12" s="9"/>
      <x:c r="F12" s="9"/>
    </x:row>
    <x:row r="13">
      <x:c r="A13" s="17" t="str">
        <x:v>Direction</x:v>
      </x:c>
      <x:c r="B13" s="18" t="str">
        <x:v>Mode</x:v>
      </x:c>
      <x:c r="C13" s="18" t="str">
        <x:v>Frequency, Hz</x:v>
      </x:c>
      <x:c r="D13" s="19" t="str">
        <x:v>Requirement</x:v>
      </x:c>
    </x:row>
    <x:row r="14">
      <x:c r="A14" s="25" t="str">
        <x:v>flap</x:v>
      </x:c>
      <x:c r="B14" s="25" t="n">
        <x:v>1</x:v>
      </x:c>
      <x:c r="C14" s="28" t="n">
        <x:v>1.4222412595183074</x:v>
      </x:c>
      <x:c r="D14" s="25" t="str">
        <x:v>&gt;= 0.7272 Hz</x:v>
      </x:c>
    </x:row>
    <x:row r="15">
      <x:c r="A15" s="26" t="str">
        <x:v>flap</x:v>
      </x:c>
      <x:c r="B15" s="26" t="n">
        <x:v>2</x:v>
      </x:c>
      <x:c r="C15" s="29" t="n">
        <x:v>3.7466837550147742</x:v>
      </x:c>
      <x:c r="D15" s="26" t="str">
        <x:v>INFO</x:v>
      </x:c>
    </x:row>
    <x:row r="16">
      <x:c r="A16" s="26" t="str">
        <x:v>flap</x:v>
      </x:c>
      <x:c r="B16" s="26" t="n">
        <x:v>3</x:v>
      </x:c>
      <x:c r="C16" s="29" t="n">
        <x:v>7.567586714185259</x:v>
      </x:c>
      <x:c r="D16" s="26" t="str">
        <x:v>INFO</x:v>
      </x:c>
    </x:row>
    <x:row r="17">
      <x:c r="A17" s="26" t="str">
        <x:v>flap</x:v>
      </x:c>
      <x:c r="B17" s="26" t="n">
        <x:v>4</x:v>
      </x:c>
      <x:c r="C17" s="29" t="n">
        <x:v>13.20910862001554</x:v>
      </x:c>
      <x:c r="D17" s="26" t="str">
        <x:v>INFO</x:v>
      </x:c>
    </x:row>
    <x:row r="18">
      <x:c r="A18" s="26" t="str">
        <x:v>edge</x:v>
      </x:c>
      <x:c r="B18" s="26" t="n">
        <x:v>1</x:v>
      </x:c>
      <x:c r="C18" s="29" t="n">
        <x:v>1.7201948847269635</x:v>
      </x:c>
      <x:c r="D18" s="26" t="str">
        <x:v>INFO</x:v>
      </x:c>
    </x:row>
    <x:row r="19">
      <x:c r="A19" s="26" t="str">
        <x:v>edge</x:v>
      </x:c>
      <x:c r="B19" s="26" t="n">
        <x:v>2</x:v>
      </x:c>
      <x:c r="C19" s="29" t="n">
        <x:v>4.896385228844884</x:v>
      </x:c>
      <x:c r="D19" s="26" t="str">
        <x:v>INFO</x:v>
      </x:c>
    </x:row>
    <x:row r="20">
      <x:c r="A20" s="26" t="str">
        <x:v>edge</x:v>
      </x:c>
      <x:c r="B20" s="26" t="n">
        <x:v>3</x:v>
      </x:c>
      <x:c r="C20" s="29" t="n">
        <x:v>10.363947161861672</x:v>
      </x:c>
      <x:c r="D20" s="26" t="str">
        <x:v>INFO</x:v>
      </x:c>
    </x:row>
    <x:row r="21">
      <x:c r="A21" s="27" t="str">
        <x:v>edge</x:v>
      </x:c>
      <x:c r="B21" s="27" t="n">
        <x:v>4</x:v>
      </x:c>
      <x:c r="C21" s="30" t="n">
        <x:v>18.644857538622112</x:v>
      </x:c>
      <x:c r="D21" s="27" t="str">
        <x:v>INFO</x:v>
      </x:c>
    </x:row>
  </x:sheetData>
  <x:mergeCells>
    <x:mergeCell ref="A1:K1"/>
    <x:mergeCell ref="A2:K2"/>
    <x:mergeCell ref="A4:F4"/>
    <x:mergeCell ref="A12:F12"/>
  </x:mergeCells>
  <x:pageMargins left="0.7" right="0.7" top="0.75" bottom="0.75" header="0.3" footer="0.3"/>
  <x:drawing xmlns:r="http://schemas.openxmlformats.org/officeDocument/2006/relationships" r:id="Ree33cd7c27204cd1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60" hidden="0" customWidth="1"/>
  </x:cols>
  <x:sheetData>
    <x:row r="1" ht="30" customHeight="1">
      <x:c r="A1" s="3" t="str">
        <x:v>STATIC STRENGTH &amp; BUCKLING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Minimum reserve factors for the final v6 architecture. PASS threshold is RF ≥ 1.0.</x:v>
      </x:c>
      <x:c r="B2" s="6"/>
      <x:c r="C2" s="6"/>
      <x:c r="D2" s="6"/>
      <x:c r="E2" s="6"/>
      <x:c r="F2" s="6"/>
      <x:c r="G2" s="6"/>
      <x:c r="H2" s="6"/>
    </x:row>
    <x:row r="4">
      <x:c r="A4" s="9" t="str">
        <x:v>Integrated reserve factors</x:v>
      </x:c>
      <x:c r="B4" s="9"/>
      <x:c r="C4" s="9"/>
      <x:c r="D4" s="9"/>
      <x:c r="E4" s="9"/>
      <x:c r="F4" s="9"/>
      <x:c r="G4" s="9"/>
      <x:c r="H4" s="9"/>
    </x:row>
    <x:row r="5">
      <x:c r="A5" s="17" t="str">
        <x:v>Check</x:v>
      </x:c>
      <x:c r="B5" s="18" t="str">
        <x:v>RF</x:v>
      </x:c>
      <x:c r="C5" s="18" t="str">
        <x:v>Limit</x:v>
      </x:c>
      <x:c r="D5" s="18" t="str">
        <x:v>Margin</x:v>
      </x:c>
      <x:c r="E5" s="18" t="str">
        <x:v>Status</x:v>
      </x:c>
      <x:c r="F5" s="19" t="str">
        <x:v>Basis</x:v>
      </x:c>
    </x:row>
    <x:row r="6">
      <x:c r="A6" s="25" t="str">
        <x:v>cap_strength_RF</x:v>
      </x:c>
      <x:c r="B6" s="28" t="n">
        <x:v>4.223063321694137</x:v>
      </x:c>
      <x:c r="C6" s="28" t="n">
        <x:v>1</x:v>
      </x:c>
      <x:c r="D6" s="28" t="n">
        <x:v>3.223063321694137</x:v>
      </x:c>
      <x:c r="E6" s="25" t="str">
        <x:v>PASS</x:v>
      </x:c>
      <x:c r="F6" s="25" t="str">
        <x:v>Phase 4 CLT under factored flap loads</x:v>
      </x:c>
    </x:row>
    <x:row r="7">
      <x:c r="A7" s="26" t="str">
        <x:v>shell_strength_RF</x:v>
      </x:c>
      <x:c r="B7" s="29" t="n">
        <x:v>2.83885475304013</x:v>
      </x:c>
      <x:c r="C7" s="29" t="n">
        <x:v>1</x:v>
      </x:c>
      <x:c r="D7" s="29" t="n">
        <x:v>1.8388547530401298</x:v>
      </x:c>
      <x:c r="E7" s="26" t="str">
        <x:v>PASS</x:v>
      </x:c>
      <x:c r="F7" s="26" t="str">
        <x:v>CLT with v6 gravity mass and factored flap loads</x:v>
      </x:c>
    </x:row>
    <x:row r="8">
      <x:c r="A8" s="26" t="str">
        <x:v>web_strength_RF</x:v>
      </x:c>
      <x:c r="B8" s="29" t="n">
        <x:v>2.054574665541518</x:v>
      </x:c>
      <x:c r="C8" s="29" t="n">
        <x:v>1</x:v>
      </x:c>
      <x:c r="D8" s="29" t="n">
        <x:v>1.054574665541518</x:v>
      </x:c>
      <x:c r="E8" s="26" t="str">
        <x:v>PASS</x:v>
      </x:c>
      <x:c r="F8" s="26" t="str">
        <x:v>v6 sandwich face/core strength screen</x:v>
      </x:c>
    </x:row>
    <x:row r="9">
      <x:c r="A9" s="26"/>
      <x:c r="B9" s="29"/>
      <x:c r="C9" s="29"/>
      <x:c r="D9" s="29"/>
      <x:c r="E9" s="26"/>
      <x:c r="F9" s="26"/>
    </x:row>
    <x:row r="10">
      <x:c r="A10" s="68" t="str">
        <x:v>BUCKLING</x:v>
      </x:c>
      <x:c r="B10" s="69"/>
      <x:c r="C10" s="69"/>
      <x:c r="D10" s="69"/>
      <x:c r="E10" s="68"/>
      <x:c r="F10" s="68"/>
    </x:row>
    <x:row r="11">
      <x:c r="A11" s="26" t="str">
        <x:v>cap_buckling_RF</x:v>
      </x:c>
      <x:c r="B11" s="29" t="n">
        <x:v>2.645366199572317</x:v>
      </x:c>
      <x:c r="C11" s="29" t="n">
        <x:v>1</x:v>
      </x:c>
      <x:c r="D11" s="29" t="n">
        <x:v>1.645366199572317</x:v>
      </x:c>
      <x:c r="E11" s="26" t="str">
        <x:v>PASS</x:v>
      </x:c>
      <x:c r="F11" s="26" t="str">
        <x:v>Phase 5 classical cap panel screen</x:v>
      </x:c>
    </x:row>
    <x:row r="12">
      <x:c r="A12" s="26" t="str">
        <x:v>web_buckling_RF</x:v>
      </x:c>
      <x:c r="B12" s="29" t="n">
        <x:v>5.018426676778696</x:v>
      </x:c>
      <x:c r="C12" s="29" t="n">
        <x:v>1</x:v>
      </x:c>
      <x:c r="D12" s="29" t="n">
        <x:v>4.018426676778696</x:v>
      </x:c>
      <x:c r="E12" s="26" t="str">
        <x:v>PASS</x:v>
      </x:c>
      <x:c r="F12" s="26" t="str">
        <x:v>CAD-height v6 sandwich D matrix; split error -10/0/+10%</x:v>
      </x:c>
    </x:row>
    <x:row r="13">
      <x:c r="A13" s="26" t="str">
        <x:v>Governing static location</x:v>
      </x:c>
      <x:c r="B13" s="29" t="n">
        <x:v>2.054574665541518</x:v>
      </x:c>
      <x:c r="C13" s="29" t="n">
        <x:v>1</x:v>
      </x:c>
      <x:c r="D13" s="29" t="n">
        <x:v>1.054574665541518</x:v>
      </x:c>
      <x:c r="E13" s="26" t="str">
        <x:v>PASS</x:v>
      </x:c>
      <x:c r="F13" s="26" t="str">
        <x:v>v6 web face/core strength, all A66h split cases</x:v>
      </x:c>
    </x:row>
    <x:row r="14">
      <x:c r="A14" s="27" t="str">
        <x:v>Governing buckling bound</x:v>
      </x:c>
      <x:c r="B14" s="30" t="n">
        <x:v>5.018426676778696</x:v>
      </x:c>
      <x:c r="C14" s="30" t="n">
        <x:v>1</x:v>
      </x:c>
      <x:c r="D14" s="30" t="n">
        <x:v>4.018426676778696</x:v>
      </x:c>
      <x:c r="E14" s="27" t="str">
        <x:v>PASS</x:v>
      </x:c>
      <x:c r="F14" s="27" t="str">
        <x:v>a/h=10 conservative edge</x:v>
      </x:c>
    </x:row>
  </x:sheetData>
  <x:mergeCells>
    <x:mergeCell ref="A1:H1"/>
    <x:mergeCell ref="A2:H2"/>
    <x:mergeCell ref="A4:H4"/>
  </x:mergeCells>
  <x:conditionalFormatting sqref="E6:E14">
    <x:cfRule type="containsText" dxfId="9" priority="1" operator="containsText" text="PASS"/>
    <x:cfRule type="containsText" dxfId="10" priority="2" operator="containsText" text="FAIL"/>
    <x:cfRule type="containsText" dxfId="11" priority="3" operator="containsText" text="INFO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16" hidden="0" customWidth="1"/>
  </x:cols>
  <x:sheetData>
    <x:row r="1" ht="30" customHeight="1">
      <x:c r="A1" s="3" t="str">
        <x:v>20-YEAR FATIGUE ROBUSTNESS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All nominal, b=9, A66h ±10%, and combined cases are explicitly checked against D20 ≤ 0.70.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9" t="str">
        <x:v>DB face fatigue sensitivity matrix</x:v>
      </x:c>
      <x:c r="B4" s="9"/>
      <x:c r="C4" s="9"/>
      <x:c r="D4" s="9"/>
      <x:c r="E4" s="9"/>
      <x:c r="F4" s="9"/>
      <x:c r="G4" s="9"/>
      <x:c r="H4" s="9"/>
      <x:c r="I4" s="9"/>
      <x:c r="J4" s="9"/>
    </x:row>
    <x:row r="5">
      <x:c r="A5" s="17" t="str">
        <x:v>Case</x:v>
      </x:c>
      <x:c r="B5" s="18" t="str">
        <x:v>C, MPa</x:v>
      </x:c>
      <x:c r="C5" s="18" t="str">
        <x:v>b</x:v>
      </x:c>
      <x:c r="D5" s="18" t="str">
        <x:v>A66h split error</x:v>
      </x:c>
      <x:c r="E5" s="18" t="str">
        <x:v>Governing web</x:v>
      </x:c>
      <x:c r="F5" s="18" t="str">
        <x:v>D20</x:v>
      </x:c>
      <x:c r="G5" s="18" t="str">
        <x:v>Target</x:v>
      </x:c>
      <x:c r="H5" s="18" t="str">
        <x:v>Margin</x:v>
      </x:c>
      <x:c r="I5" s="18" t="str">
        <x:v>Status</x:v>
      </x:c>
      <x:c r="J5" s="19" t="str">
        <x:v>Governing r, m</x:v>
      </x:c>
    </x:row>
    <x:row r="6">
      <x:c r="A6" s="25" t="str">
        <x:v>nominal_b10_split0</x:v>
      </x:c>
      <x:c r="B6" s="25" t="n">
        <x:v>62</x:v>
      </x:c>
      <x:c r="C6" s="25" t="n">
        <x:v>10</x:v>
      </x:c>
      <x:c r="D6" s="70" t="n">
        <x:v>0</x:v>
      </x:c>
      <x:c r="E6" s="25" t="str">
        <x:v>forward</x:v>
      </x:c>
      <x:c r="F6" s="28" t="n">
        <x:v>0.05525279164532104</x:v>
      </x:c>
      <x:c r="G6" s="28" t="n">
        <x:v>0.7</x:v>
      </x:c>
      <x:c r="H6" s="28" t="n">
        <x:v>0.6447472083546789</x:v>
      </x:c>
      <x:c r="I6" s="25" t="str">
        <x:v>PASS</x:v>
      </x:c>
      <x:c r="J6" s="73" t="n">
        <x:v>26.65</x:v>
      </x:c>
    </x:row>
    <x:row r="7">
      <x:c r="A7" s="26" t="str">
        <x:v>b9_split0</x:v>
      </x:c>
      <x:c r="B7" s="26" t="n">
        <x:v>62</x:v>
      </x:c>
      <x:c r="C7" s="26" t="n">
        <x:v>9</x:v>
      </x:c>
      <x:c r="D7" s="71" t="n">
        <x:v>0</x:v>
      </x:c>
      <x:c r="E7" s="26" t="str">
        <x:v>forward</x:v>
      </x:c>
      <x:c r="F7" s="29" t="n">
        <x:v>0.29384533681693864</x:v>
      </x:c>
      <x:c r="G7" s="29" t="n">
        <x:v>0.7</x:v>
      </x:c>
      <x:c r="H7" s="29" t="n">
        <x:v>0.4061546631830613</x:v>
      </x:c>
      <x:c r="I7" s="26" t="str">
        <x:v>PASS</x:v>
      </x:c>
      <x:c r="J7" s="74" t="n">
        <x:v>26.65</x:v>
      </x:c>
    </x:row>
    <x:row r="8">
      <x:c r="A8" s="26" t="str">
        <x:v>b10_split_minus10</x:v>
      </x:c>
      <x:c r="B8" s="26" t="n">
        <x:v>62</x:v>
      </x:c>
      <x:c r="C8" s="26" t="n">
        <x:v>10</x:v>
      </x:c>
      <x:c r="D8" s="71" t="n">
        <x:v>-0.1</x:v>
      </x:c>
      <x:c r="E8" s="26" t="str">
        <x:v>aft</x:v>
      </x:c>
      <x:c r="F8" s="29" t="n">
        <x:v>0.13684470304494784</x:v>
      </x:c>
      <x:c r="G8" s="29" t="n">
        <x:v>0.7</x:v>
      </x:c>
      <x:c r="H8" s="29" t="n">
        <x:v>0.5631552969550522</x:v>
      </x:c>
      <x:c r="I8" s="26" t="str">
        <x:v>PASS</x:v>
      </x:c>
      <x:c r="J8" s="74" t="n">
        <x:v>26.65</x:v>
      </x:c>
    </x:row>
    <x:row r="9">
      <x:c r="A9" s="26" t="str">
        <x:v>b10_split_plus10</x:v>
      </x:c>
      <x:c r="B9" s="26" t="n">
        <x:v>62</x:v>
      </x:c>
      <x:c r="C9" s="26" t="n">
        <x:v>10</x:v>
      </x:c>
      <x:c r="D9" s="71" t="n">
        <x:v>0.1</x:v>
      </x:c>
      <x:c r="E9" s="26" t="str">
        <x:v>forward</x:v>
      </x:c>
      <x:c r="F9" s="29" t="n">
        <x:v>0.14331151172952747</x:v>
      </x:c>
      <x:c r="G9" s="29" t="n">
        <x:v>0.7</x:v>
      </x:c>
      <x:c r="H9" s="29" t="n">
        <x:v>0.5566884882704725</x:v>
      </x:c>
      <x:c r="I9" s="26" t="str">
        <x:v>PASS</x:v>
      </x:c>
      <x:c r="J9" s="74" t="n">
        <x:v>26.65</x:v>
      </x:c>
    </x:row>
    <x:row r="10">
      <x:c r="A10" s="26" t="str">
        <x:v>b9_split_minus10</x:v>
      </x:c>
      <x:c r="B10" s="26" t="n">
        <x:v>62</x:v>
      </x:c>
      <x:c r="C10" s="26" t="n">
        <x:v>9</x:v>
      </x:c>
      <x:c r="D10" s="71" t="n">
        <x:v>-0.1</x:v>
      </x:c>
      <x:c r="E10" s="26" t="str">
        <x:v>aft</x:v>
      </x:c>
      <x:c r="F10" s="29" t="n">
        <x:v>0.6646686456804617</x:v>
      </x:c>
      <x:c r="G10" s="29" t="n">
        <x:v>0.7</x:v>
      </x:c>
      <x:c r="H10" s="29" t="n">
        <x:v>0.035331354319538266</x:v>
      </x:c>
      <x:c r="I10" s="26" t="str">
        <x:v>PASS</x:v>
      </x:c>
      <x:c r="J10" s="74" t="n">
        <x:v>26.65</x:v>
      </x:c>
    </x:row>
    <x:row r="11">
      <x:c r="A11" s="27" t="str">
        <x:v>b9_split_plus10</x:v>
      </x:c>
      <x:c r="B11" s="27" t="n">
        <x:v>62</x:v>
      </x:c>
      <x:c r="C11" s="27" t="n">
        <x:v>9</x:v>
      </x:c>
      <x:c r="D11" s="72" t="n">
        <x:v>0.1</x:v>
      </x:c>
      <x:c r="E11" s="27" t="str">
        <x:v>forward</x:v>
      </x:c>
      <x:c r="F11" s="30" t="n">
        <x:v>0.6928719334586165</x:v>
      </x:c>
      <x:c r="G11" s="30" t="n">
        <x:v>0.7</x:v>
      </x:c>
      <x:c r="H11" s="30" t="n">
        <x:v>0.0071280665413834265</x:v>
      </x:c>
      <x:c r="I11" s="27" t="str">
        <x:v>PASS</x:v>
      </x:c>
      <x:c r="J11" s="75" t="n">
        <x:v>26.65</x:v>
      </x:c>
    </x:row>
    <x:row r="13">
      <x:c r="A13" s="17" t="str">
        <x:v>Component</x:v>
      </x:c>
      <x:c r="B13" s="18" t="str">
        <x:v>D20</x:v>
      </x:c>
      <x:c r="C13" s="18" t="str">
        <x:v>Target</x:v>
      </x:c>
      <x:c r="D13" s="18" t="str">
        <x:v>Margin</x:v>
      </x:c>
      <x:c r="E13" s="18" t="str">
        <x:v>Status</x:v>
      </x:c>
      <x:c r="F13" s="19" t="str">
        <x:v>Source/model</x:v>
      </x:c>
    </x:row>
    <x:row r="14">
      <x:c r="A14" s="25" t="str">
        <x:v>Shell / TE</x:v>
      </x:c>
      <x:c r="B14" s="28" t="n">
        <x:v>0.24046499999999998</x:v>
      </x:c>
      <x:c r="C14" s="28" t="n">
        <x:v>0.7</x:v>
      </x:c>
      <x:c r="D14" s="28" t="n">
        <x:v>0.45953499999999997</x:v>
      </x:c>
      <x:c r="E14" s="25" t="str">
        <x:v>PASS</x:v>
      </x:c>
      <x:c r="F14" s="25" t="str">
        <x:v>SAND reference Miner damage transfer</x:v>
      </x:c>
    </x:row>
    <x:row r="15">
      <x:c r="A15" s="26" t="str">
        <x:v>Spar cap</x:v>
      </x:c>
      <x:c r="B15" s="29" t="n">
        <x:v>0.0005549468796574551</x:v>
      </x:c>
      <x:c r="C15" s="29" t="n">
        <x:v>0.7</x:v>
      </x:c>
      <x:c r="D15" s="29" t="n">
        <x:v>0.6994450531203426</x:v>
      </x:c>
      <x:c r="E15" s="26" t="str">
        <x:v>PASS</x:v>
      </x:c>
      <x:c r="F15" s="26" t="str">
        <x:v>glass UD equivalent-strain transfer</x:v>
      </x:c>
    </x:row>
    <x:row r="16">
      <x:c r="A16" s="26" t="str">
        <x:v>Web face worst</x:v>
      </x:c>
      <x:c r="B16" s="29" t="n">
        <x:v>0.6928719334586165</x:v>
      </x:c>
      <x:c r="C16" s="29" t="n">
        <x:v>0.7</x:v>
      </x:c>
      <x:c r="D16" s="29" t="n">
        <x:v>0.0071280665413834265</x:v>
      </x:c>
      <x:c r="E16" s="26" t="str">
        <x:v>PASS</x:v>
      </x:c>
      <x:c r="F16" s="26" t="str">
        <x:v>combined b=9 and A66h +10% robust case</x:v>
      </x:c>
    </x:row>
    <x:row r="17">
      <x:c r="A17" s="27" t="str">
        <x:v>H100 core</x:v>
      </x:c>
      <x:c r="B17" s="30" t="n">
        <x:v>8.971869107947785e-19</x:v>
      </x:c>
      <x:c r="C17" s="30" t="n">
        <x:v>0.7</x:v>
      </x:c>
      <x:c r="D17" s="30" t="n">
        <x:v>0.7</x:v>
      </x:c>
      <x:c r="E17" s="27" t="str">
        <x:v>PASS</x:v>
      </x:c>
      <x:c r="F17" s="27" t="str">
        <x:v>NASA/TM-2012-217694 H100 shear-fatigue curve</x:v>
      </x:c>
    </x:row>
  </x:sheetData>
  <x:mergeCells>
    <x:mergeCell ref="A1:J1"/>
    <x:mergeCell ref="A2:J2"/>
    <x:mergeCell ref="A4:J4"/>
  </x:mergeCells>
  <x:conditionalFormatting sqref="I6:I11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INFO"/>
  </x:conditionalFormatting>
  <x:conditionalFormatting sqref="E14:E17">
    <x:cfRule type="containsText" dxfId="15" priority="4" operator="containsText" text="PASS"/>
    <x:cfRule type="containsText" dxfId="16" priority="5" operator="containsText" text="FAIL"/>
    <x:cfRule type="containsText" dxfId="17" priority="6" operator="containsText" text="INFO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0" customHeight="1">
      <x:c r="A1" s="3" t="str">
        <x:v>SPANWISE RESPONSE DATA</x:v>
      </x:c>
      <x:c r="B1" s="3"/>
      <x:c r="C1" s="3"/>
      <x:c r="D1" s="3"/>
      <x:c r="E1" s="3"/>
      <x:c r="F1" s="3"/>
      <x:c r="G1" s="3"/>
    </x:row>
    <x:row r="2" ht="30" customHeight="1">
      <x:c r="A2" s="6" t="str">
        <x:v>Formula/chart source table. All coordinates come from the source blade station grid.</x:v>
      </x:c>
      <x:c r="B2" s="6"/>
      <x:c r="C2" s="6"/>
      <x:c r="D2" s="6"/>
      <x:c r="E2" s="6"/>
      <x:c r="F2" s="6"/>
      <x:c r="G2" s="6"/>
    </x:row>
    <x:row r="4">
      <x:c r="A4" s="17" t="str">
        <x:v>r, m</x:v>
      </x:c>
      <x:c r="B4" s="18" t="str">
        <x:v>Final mass, kg/m</x:v>
      </x:c>
      <x:c r="C4" s="18" t="str">
        <x:v>Operating moment, MNm</x:v>
      </x:c>
      <x:c r="D4" s="18" t="str">
        <x:v>Parked-fault moment, MNm</x:v>
      </x:c>
      <x:c r="E4" s="18" t="str">
        <x:v>Operating deflection, m</x:v>
      </x:c>
      <x:c r="F4" s="18" t="str">
        <x:v>Parked-fault deflection, m</x:v>
      </x:c>
      <x:c r="G4" s="19" t="str">
        <x:v>Deflection limit, m</x:v>
      </x:c>
    </x:row>
    <x:row r="5">
      <x:c r="A5" s="28" t="n">
        <x:v>0</x:v>
      </x:c>
      <x:c r="B5" s="76" t="n">
        <x:v>634.8054987451056</x:v>
      </x:c>
      <x:c r="C5" s="28" t="n">
        <x:v>10.166445398250001</x:v>
      </x:c>
      <x:c r="D5" s="28" t="n">
        <x:v>31.197152710070807</x:v>
      </x:c>
      <x:c r="E5" s="28" t="n">
        <x:v>0</x:v>
      </x:c>
      <x:c r="F5" s="28" t="n">
        <x:v>0</x:v>
      </x:c>
      <x:c r="G5" s="28" t="n">
        <x:v>5.5</x:v>
      </x:c>
    </x:row>
    <x:row r="6">
      <x:c r="A6" s="29" t="n">
        <x:v>1.367</x:v>
      </x:c>
      <x:c r="B6" s="77" t="n">
        <x:v>723.8207150278555</x:v>
      </x:c>
      <x:c r="C6" s="29" t="n">
        <x:v>9.809856104796598</x:v>
      </x:c>
      <x:c r="D6" s="29" t="n">
        <x:v>29.769920636369083</x:v>
      </x:c>
      <x:c r="E6" s="29" t="n">
        <x:v>0.0005032772680826679</x:v>
      </x:c>
      <x:c r="F6" s="29" t="n">
        <x:v>0.0015417391816035973</x:v>
      </x:c>
      <x:c r="G6" s="29" t="n">
        <x:v>5.5</x:v>
      </x:c>
    </x:row>
    <x:row r="7">
      <x:c r="A7" s="29" t="n">
        <x:v>4.1</x:v>
      </x:c>
      <x:c r="B7" s="77" t="n">
        <x:v>824.7870840553209</x:v>
      </x:c>
      <x:c r="C7" s="29" t="n">
        <x:v>9.09778748481401</x:v>
      </x:c>
      <x:c r="D7" s="29" t="n">
        <x:v>26.94330341915724</x:v>
      </x:c>
      <x:c r="E7" s="29" t="n">
        <x:v>0.004419640486764722</x:v>
      </x:c>
      <x:c r="F7" s="29" t="n">
        <x:v>0.013438914563678737</x:v>
      </x:c>
      <x:c r="G7" s="29" t="n">
        <x:v>5.5</x:v>
      </x:c>
    </x:row>
    <x:row r="8">
      <x:c r="A8" s="29" t="n">
        <x:v>6.833</x:v>
      </x:c>
      <x:c r="B8" s="77" t="n">
        <x:v>798.4868786876336</x:v>
      </x:c>
      <x:c r="C8" s="29" t="n">
        <x:v>8.387612154866128</x:v>
      </x:c>
      <x:c r="D8" s="29" t="n">
        <x:v>24.170727764493545</x:v>
      </x:c>
      <x:c r="E8" s="29" t="n">
        <x:v>0.01197381793825419</x:v>
      </x:c>
      <x:c r="F8" s="29" t="n">
        <x:v>0.036134519469989204</x:v>
      </x:c>
      <x:c r="G8" s="29" t="n">
        <x:v>5.5</x:v>
      </x:c>
    </x:row>
    <x:row r="9">
      <x:c r="A9" s="29" t="n">
        <x:v>10.25</x:v>
      </x:c>
      <x:c r="B9" s="77" t="n">
        <x:v>733.7711369457527</x:v>
      </x:c>
      <x:c r="C9" s="29" t="n">
        <x:v>7.505599495450041</x:v>
      </x:c>
      <x:c r="D9" s="29" t="n">
        <x:v>20.800898065314694</x:v>
      </x:c>
      <x:c r="E9" s="29" t="n">
        <x:v>0.02609110261403063</x:v>
      </x:c>
      <x:c r="F9" s="29" t="n">
        <x:v>0.07798022118415553</x:v>
      </x:c>
      <x:c r="G9" s="29" t="n">
        <x:v>5.5</x:v>
      </x:c>
    </x:row>
    <x:row r="10">
      <x:c r="A10" s="29" t="n">
        <x:v>14.35</x:v>
      </x:c>
      <x:c r="B10" s="77" t="n">
        <x:v>590.4888589361774</x:v>
      </x:c>
      <x:c r="C10" s="29" t="n">
        <x:v>6.4673960172088405</x:v>
      </x:c>
      <x:c r="D10" s="29" t="n">
        <x:v>16.994971739363155</x:v>
      </x:c>
      <x:c r="E10" s="29" t="n">
        <x:v>0.05030694333428061</x:v>
      </x:c>
      <x:c r="F10" s="29" t="n">
        <x:v>0.1483369532104694</x:v>
      </x:c>
      <x:c r="G10" s="29" t="n">
        <x:v>5.5</x:v>
      </x:c>
    </x:row>
    <x:row r="11">
      <x:c r="A11" s="29" t="n">
        <x:v>18.45</x:v>
      </x:c>
      <x:c r="B11" s="77" t="n">
        <x:v>456.059965582865</x:v>
      </x:c>
      <x:c r="C11" s="29" t="n">
        <x:v>5.469897666147502</x:v>
      </x:c>
      <x:c r="D11" s="29" t="n">
        <x:v>13.588955102055163</x:v>
      </x:c>
      <x:c r="E11" s="29" t="n">
        <x:v>0.08582827214460131</x:v>
      </x:c>
      <x:c r="F11" s="29" t="n">
        <x:v>0.24841862232374798</x:v>
      </x:c>
      <x:c r="G11" s="29" t="n">
        <x:v>5.5</x:v>
      </x:c>
    </x:row>
    <x:row r="12">
      <x:c r="A12" s="29" t="n">
        <x:v>22.55</x:v>
      </x:c>
      <x:c r="B12" s="77" t="n">
        <x:v>348.97513922300317</x:v>
      </x:c>
      <x:c r="C12" s="29" t="n">
        <x:v>4.526046398251137</x:v>
      </x:c>
      <x:c r="D12" s="29" t="n">
        <x:v>10.627000346953158</x:v>
      </x:c>
      <x:c r="E12" s="29" t="n">
        <x:v>0.1373988191294445</x:v>
      </x:c>
      <x:c r="F12" s="29" t="n">
        <x:v>0.3885188208794543</x:v>
      </x:c>
      <x:c r="G12" s="29" t="n">
        <x:v>5.5</x:v>
      </x:c>
    </x:row>
    <x:row r="13">
      <x:c r="A13" s="29" t="n">
        <x:v>26.65</x:v>
      </x:c>
      <x:c r="B13" s="77" t="n">
        <x:v>255.44781625889433</x:v>
      </x:c>
      <x:c r="C13" s="29" t="n">
        <x:v>3.6435572923679764</x:v>
      </x:c>
      <x:c r="D13" s="29" t="n">
        <x:v>8.087977310852361</x:v>
      </x:c>
      <x:c r="E13" s="29" t="n">
        <x:v>0.20953485976569342</x:v>
      </x:c>
      <x:c r="F13" s="29" t="n">
        <x:v>0.5771113322142739</x:v>
      </x:c>
      <x:c r="G13" s="29" t="n">
        <x:v>5.5</x:v>
      </x:c>
    </x:row>
    <x:row r="14">
      <x:c r="A14" s="29" t="n">
        <x:v>30.75</x:v>
      </x:c>
      <x:c r="B14" s="77" t="n">
        <x:v>212.2070520729969</x:v>
      </x:c>
      <x:c r="C14" s="29" t="n">
        <x:v>2.830816080988506</x:v>
      </x:c>
      <x:c r="D14" s="29" t="n">
        <x:v>5.9481924795827625</x:v>
      </x:c>
      <x:c r="E14" s="29" t="n">
        <x:v>0.30775142395148325</x:v>
      </x:c>
      <x:c r="F14" s="29" t="n">
        <x:v>0.8238681555116543</x:v>
      </x:c>
      <x:c r="G14" s="29" t="n">
        <x:v>5.5</x:v>
      </x:c>
    </x:row>
    <x:row r="15">
      <x:c r="A15" s="29" t="n">
        <x:v>34.85</x:v>
      </x:c>
      <x:c r="B15" s="77" t="n">
        <x:v>172.91670055765425</x:v>
      </x:c>
      <x:c r="C15" s="29" t="n">
        <x:v>2.097648276876546</x:v>
      </x:c>
      <x:c r="D15" s="29" t="n">
        <x:v>4.182693090576422</x:v>
      </x:c>
      <x:c r="E15" s="29" t="n">
        <x:v>0.4373717270821359</x:v>
      </x:c>
      <x:c r="F15" s="29" t="n">
        <x:v>1.136996327559674</x:v>
      </x:c>
      <x:c r="G15" s="29" t="n">
        <x:v>5.5</x:v>
      </x:c>
    </x:row>
    <x:row r="16">
      <x:c r="A16" s="29" t="n">
        <x:v>38.95</x:v>
      </x:c>
      <x:c r="B16" s="77" t="n">
        <x:v>140.5426443509959</x:v>
      </x:c>
      <x:c r="C16" s="29" t="n">
        <x:v>1.454731027350217</x:v>
      </x:c>
      <x:c r="D16" s="29" t="n">
        <x:v>2.7663677460322025</x:v>
      </x:c>
      <x:c r="E16" s="29" t="n">
        <x:v>0.6025914159392296</x:v>
      </x:c>
      <x:c r="F16" s="29" t="n">
        <x:v>1.5215779856065823</x:v>
      </x:c>
      <x:c r="G16" s="29" t="n">
        <x:v>5.5</x:v>
      </x:c>
    </x:row>
    <x:row r="17">
      <x:c r="A17" s="29" t="n">
        <x:v>43.05</x:v>
      </x:c>
      <x:c r="B17" s="77" t="n">
        <x:v>107.62356310771537</x:v>
      </x:c>
      <x:c r="C17" s="29" t="n">
        <x:v>0.9140613013869927</x:v>
      </x:c>
      <x:c r="D17" s="29" t="n">
        <x:v>1.6739600978268092</x:v>
      </x:c>
      <x:c r="E17" s="29" t="n">
        <x:v>0.8070669726515646</x:v>
      </x:c>
      <x:c r="F17" s="29" t="n">
        <x:v>1.9813386979658705</x:v>
      </x:c>
      <x:c r="G17" s="29" t="n">
        <x:v>5.5</x:v>
      </x:c>
    </x:row>
    <x:row r="18">
      <x:c r="A18" s="29" t="n">
        <x:v>47.15</x:v>
      </x:c>
      <x:c r="B18" s="77" t="n">
        <x:v>82.0897821319939</x:v>
      </x:c>
      <x:c r="C18" s="29" t="n">
        <x:v>0.49048182657928896</x:v>
      </x:c>
      <x:c r="D18" s="29" t="n">
        <x:v>0.8800563469520893</x:v>
      </x:c>
      <x:c r="E18" s="29" t="n">
        <x:v>1.052524569542929</x:v>
      </x:c>
      <x:c r="F18" s="29" t="n">
        <x:v>2.5166714319458365</x:v>
      </x:c>
      <x:c r="G18" s="29" t="n">
        <x:v>5.5</x:v>
      </x:c>
    </x:row>
    <x:row r="19">
      <x:c r="A19" s="29" t="n">
        <x:v>51.25</x:v>
      </x:c>
      <x:c r="B19" s="77" t="n">
        <x:v>61.636386314282234</x:v>
      </x:c>
      <x:c r="C19" s="29" t="n">
        <x:v>0.19461526185006647</x:v>
      </x:c>
      <x:c r="D19" s="29" t="n">
        <x:v>0.35275956549492515</x:v>
      </x:c>
      <x:c r="E19" s="29" t="n">
        <x:v>1.3368329692560355</x:v>
      </x:c>
      <x:c r="F19" s="29" t="n">
        <x:v>3.1219792533504105</x:v>
      </x:c>
      <x:c r="G19" s="29" t="n">
        <x:v>5.5</x:v>
      </x:c>
    </x:row>
    <x:row r="20">
      <x:c r="A20" s="29" t="n">
        <x:v>54.667</x:v>
      </x:c>
      <x:c r="B20" s="77" t="n">
        <x:v>48.23435363817488</x:v>
      </x:c>
      <x:c r="C20" s="29" t="n">
        <x:v>0.054178931239572646</x:v>
      </x:c>
      <x:c r="D20" s="29" t="n">
        <x:v>0.10372681182666407</x:v>
      </x:c>
      <x:c r="E20" s="29" t="n">
        <x:v>1.5972623266683612</x:v>
      </x:c>
      <x:c r="F20" s="29" t="n">
        <x:v>3.668615483899058</x:v>
      </x:c>
      <x:c r="G20" s="29" t="n">
        <x:v>5.5</x:v>
      </x:c>
    </x:row>
    <x:row r="21">
      <x:c r="A21" s="29" t="n">
        <x:v>57.4</x:v>
      </x:c>
      <x:c r="B21" s="77" t="n">
        <x:v>38.120744808930525</x:v>
      </x:c>
      <x:c r="C21" s="29" t="n">
        <x:v>0.009637840126819869</x:v>
      </x:c>
      <x:c r="D21" s="29" t="n">
        <x:v>0.019735743291890855</x:v>
      </x:c>
      <x:c r="E21" s="29" t="n">
        <x:v>1.8150291191600936</x:v>
      </x:c>
      <x:c r="F21" s="29" t="n">
        <x:v>4.123127843928633</x:v>
      </x:c>
      <x:c r="G21" s="29" t="n">
        <x:v>5.5</x:v>
      </x:c>
    </x:row>
    <x:row r="22">
      <x:c r="A22" s="29" t="n">
        <x:v>60.133</x:v>
      </x:c>
      <x:c r="B22" s="77" t="n">
        <x:v>18.83594708156768</x:v>
      </x:c>
      <x:c r="C22" s="29" t="n">
        <x:v>0</x:v>
      </x:c>
      <x:c r="D22" s="29" t="n">
        <x:v>0</x:v>
      </x:c>
      <x:c r="E22" s="29" t="n">
        <x:v>2.0363443037881934</x:v>
      </x:c>
      <x:c r="F22" s="29" t="n">
        <x:v>4.584313391806907</x:v>
      </x:c>
      <x:c r="G22" s="29" t="n">
        <x:v>5.5</x:v>
      </x:c>
    </x:row>
    <x:row r="23">
      <x:c r="A23" s="30" t="n">
        <x:v>61.5</x:v>
      </x:c>
      <x:c r="B23" s="78" t="n">
        <x:v>6.545013132650018</x:v>
      </x:c>
      <x:c r="C23" s="30" t="n">
        <x:v>0</x:v>
      </x:c>
      <x:c r="D23" s="30" t="n">
        <x:v>0</x:v>
      </x:c>
      <x:c r="E23" s="30" t="n">
        <x:v>2.147331912075519</x:v>
      </x:c>
      <x:c r="F23" s="30" t="n">
        <x:v>4.8155514832732065</x:v>
      </x:c>
      <x:c r="G23" s="30" t="n">
        <x:v>5.5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66fdf8fea2d24e8a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52" hidden="0" customWidth="1"/>
    <x:col min="4" max="4" width="34" hidden="0" customWidth="1"/>
    <x:col min="5" max="5" width="28" hidden="0" customWidth="1"/>
    <x:col min="6" max="6" width="58" hidden="0" customWidth="1"/>
  </x:cols>
  <x:sheetData>
    <x:row r="1" ht="30" customHeight="1">
      <x:c r="A1" s="3" t="str">
        <x:v>SOURCES, ASSUMPTIONS &amp; LIMITATIONS</x:v>
      </x:c>
      <x:c r="B1" s="3"/>
      <x:c r="C1" s="3"/>
      <x:c r="D1" s="3"/>
      <x:c r="E1" s="3"/>
      <x:c r="F1" s="3"/>
    </x:row>
    <x:row r="2" ht="30" customHeight="1">
      <x:c r="A2" s="6" t="str">
        <x:v>Every decision-relevant value is linked to a source or an explicit reproducible transformation.</x:v>
      </x:c>
      <x:c r="B2" s="6"/>
      <x:c r="C2" s="6"/>
      <x:c r="D2" s="6"/>
      <x:c r="E2" s="6"/>
      <x:c r="F2" s="6"/>
    </x:row>
    <x:row r="4">
      <x:c r="A4" s="17" t="str">
        <x:v>ID</x:v>
      </x:c>
      <x:c r="B4" s="18" t="str">
        <x:v>Used for</x:v>
      </x:c>
      <x:c r="C4" s="18" t="str">
        <x:v>Source / method</x:v>
      </x:c>
      <x:c r="D4" s="18" t="str">
        <x:v>Location</x:v>
      </x:c>
      <x:c r="E4" s="18" t="str">
        <x:v>Classification</x:v>
      </x:c>
      <x:c r="F4" s="19" t="str">
        <x:v>URL / file</x:v>
      </x:c>
    </x:row>
    <x:row r="5" ht="34" customHeight="1">
      <x:c r="A5" s="31" t="str">
        <x:v>SRC-001</x:v>
      </x:c>
      <x:c r="B5" s="31" t="str">
        <x:v>Blade geometry and reference architecture</x:v>
      </x:c>
      <x:c r="C5" s="31" t="str">
        <x:v>Jonkman et al., NREL/TP-500-38060</x:v>
      </x:c>
      <x:c r="D5" s="31" t="str">
        <x:v>Tables 3-1 to 3-6</x:v>
      </x:c>
      <x:c r="E5" s="31" t="str">
        <x:v>Published</x:v>
      </x:c>
      <x:c r="F5" s="31" t="str">
        <x:v>https://www.nrel.gov/docs/fy09osti/38060.pdf</x:v>
      </x:c>
    </x:row>
    <x:row r="6" ht="34" customHeight="1">
      <x:c r="A6" s="32" t="str">
        <x:v>SRC-002</x:v>
      </x:c>
      <x:c r="B6" s="32" t="str">
        <x:v>Structural properties and reported 17,740 kg mass</x:v>
      </x:c>
      <x:c r="C6" s="32" t="str">
        <x:v>Resor, SAND2013-2569</x:v>
      </x:c>
      <x:c r="D6" s="32" t="str">
        <x:v>Blade definition and mass tables</x:v>
      </x:c>
      <x:c r="E6" s="32" t="str">
        <x:v>Published</x:v>
      </x:c>
      <x:c r="F6" s="32" t="str">
        <x:v>https://www.osti.gov/servlets/purl/1096511</x:v>
      </x:c>
    </x:row>
    <x:row r="7" ht="34" customHeight="1">
      <x:c r="A7" s="32" t="str">
        <x:v>SRC-003</x:v>
      </x:c>
      <x:c r="B7" s="32" t="str">
        <x:v>Static/material database</x:v>
      </x:c>
      <x:c r="C7" s="32" t="str">
        <x:v>SNL/MSU/DOE composite database + project source register</x:v>
      </x:c>
      <x:c r="D7" s="32" t="str">
        <x:v>data/sources.md</x:v>
      </x:c>
      <x:c r="E7" s="32" t="str">
        <x:v>Published/project</x:v>
      </x:c>
      <x:c r="F7" s="32" t="str">
        <x:v>data/sources.md</x:v>
      </x:c>
    </x:row>
    <x:row r="8" ht="34" customHeight="1">
      <x:c r="A8" s="32" t="str">
        <x:v>SRC-004</x:v>
      </x:c>
      <x:c r="B8" s="32" t="str">
        <x:v>H100 shear fatigue</x:v>
      </x:c>
      <x:c r="C8" s="32" t="str">
        <x:v>NASA/TM-2012-217694</x:v>
      </x:c>
      <x:c r="D8" s="32" t="str">
        <x:v>Table 3 / fatigue relations</x:v>
      </x:c>
      <x:c r="E8" s="32" t="str">
        <x:v>Published</x:v>
      </x:c>
      <x:c r="F8" s="32" t="str">
        <x:v>https://ntrs.nasa.gov/citations/20120014542</x:v>
      </x:c>
    </x:row>
    <x:row r="9" ht="34" customHeight="1">
      <x:c r="A9" s="32" t="str">
        <x:v>SRC-005</x:v>
      </x:c>
      <x:c r="B9" s="32" t="str">
        <x:v>DB fatigue proxy</x:v>
      </x:c>
      <x:c r="C9" s="32" t="str">
        <x:v>Saertex VU 90079 Figure 7 digitization</x:v>
      </x:c>
      <x:c r="D9" s="32" t="str">
        <x:v>C_shear=78 MPa, b=9.709 digitized trend line</x:v>
      </x:c>
      <x:c r="E9" s="32" t="str">
        <x:v>Digitized, not stated numeric fit</x:v>
      </x:c>
      <x:c r="F9" s="32" t="str">
        <x:v>sessions/day05_phase7_fatigue/sources/db_h100_sources.md</x:v>
      </x:c>
    </x:row>
    <x:row r="10" ht="34" customHeight="1">
      <x:c r="A10" s="32" t="str">
        <x:v>MTH-001</x:v>
      </x:c>
      <x:c r="B10" s="32" t="str">
        <x:v>Mass distribution</x:v>
      </x:c>
      <x:c r="C10" s="32" t="str">
        <x:v>Normalize raw source station-table shape to reported 17,740 kg, then add explicit cap/web deltas</x:v>
      </x:c>
      <x:c r="D10" s="32" t="str">
        <x:v>Design_Mass!A17:D24</x:v>
      </x:c>
      <x:c r="E10" s="32" t="str">
        <x:v>Reproducible transformation</x:v>
      </x:c>
      <x:c r="F10" s="32" t="str">
        <x:v>src/phase8_final_integration.py</x:v>
      </x:c>
    </x:row>
    <x:row r="11" ht="34" customHeight="1">
      <x:c r="A11" s="32" t="str">
        <x:v>MTH-002</x:v>
      </x:c>
      <x:c r="B11" s="32" t="str">
        <x:v>Web load split</x:v>
      </x:c>
      <x:c r="C11" s="32" t="str">
        <x:v>A66h-based split with -10/0/+10% sensitivity; fractions conserved</x:v>
      </x:c>
      <x:c r="D11" s="32" t="str">
        <x:v>Phase 7–8 runner</x:v>
      </x:c>
      <x:c r="E11" s="32" t="str">
        <x:v>Screening assumption</x:v>
      </x:c>
      <x:c r="F11" s="32" t="str">
        <x:v>src/phase8_final_integration.py</x:v>
      </x:c>
    </x:row>
    <x:row r="12" ht="34" customHeight="1">
      <x:c r="A12" s="32" t="str">
        <x:v>LIM-001</x:v>
      </x:c>
      <x:c r="B12" s="32" t="str">
        <x:v>Certification scope</x:v>
      </x:c>
      <x:c r="C12" s="32" t="str">
        <x:v>No full shell/solid 3D FE, no third-party review, no IEC DLC certification package</x:v>
      </x:c>
      <x:c r="D12" s="32" t="str">
        <x:v>Gate 8</x:v>
      </x:c>
      <x:c r="E12" s="32" t="str">
        <x:v>Limitation</x:v>
      </x:c>
      <x:c r="F12" s="32" t="str">
        <x:v>results/gate_reports/gate_8.md</x:v>
      </x:c>
    </x:row>
    <x:row r="13" ht="34" customHeight="1">
      <x:c r="A13" s="32" t="str">
        <x:v>LIM-002</x:v>
      </x:c>
      <x:c r="B13" s="32" t="str">
        <x:v>Manufacturing validation</x:v>
      </x:c>
      <x:c r="C13" s="32" t="str">
        <x:v>Material allowables and fatigue curves require supplier coupons before detailed design</x:v>
      </x:c>
      <x:c r="D13" s="32" t="str">
        <x:v>Gate 8</x:v>
      </x:c>
      <x:c r="E13" s="32" t="str">
        <x:v>Limitation</x:v>
      </x:c>
      <x:c r="F13" s="32" t="str">
        <x:v>results/gate_reports/gate_8.md</x:v>
      </x:c>
    </x:row>
    <x:row r="14" ht="34" customHeight="1">
      <x:c r="A14" s="33" t="str">
        <x:v>QA-001</x:v>
      </x:c>
      <x:c r="B14" s="33" t="str">
        <x:v>CAD lineage</x:v>
      </x:c>
      <x:c r="C14" s="33" t="str">
        <x:v>v2 baseline; v3 static reinforcement; v5 fatigue closure; v6 final integrated</x:v>
      </x:c>
      <x:c r="D14" s="33" t="str">
        <x:v>4/4 phase objects checked</x:v>
      </x:c>
      <x:c r="E14" s="33" t="str">
        <x:v>Reproducibility guard</x:v>
      </x:c>
      <x:c r="F14" s="33" t="str">
        <x:v>verify/verify_cad_lineage.py</x:v>
      </x:c>
    </x:row>
  </x:sheetData>
  <x:mergeCells>
    <x:mergeCell ref="A1:F1"/>
    <x:mergeCell ref="A2:F2"/>
  </x:mergeCells>
  <x:pageMargins left="0.7" right="0.7" top="0.75" bottom="0.75" header="0.3" footer="0.3"/>
</x:worksheet>
</file>